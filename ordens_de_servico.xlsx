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KI\Documents\Fabrício\Projetos\excel-data-analysis\1. controle-de-manutenção-preventiva\"/>
    </mc:Choice>
  </mc:AlternateContent>
  <xr:revisionPtr revIDLastSave="0" documentId="13_ncr:1_{C009954C-1D80-4947-B2BA-BCD21A861528}" xr6:coauthVersionLast="47" xr6:coauthVersionMax="47" xr10:uidLastSave="{00000000-0000-0000-0000-000000000000}"/>
  <bookViews>
    <workbookView xWindow="-120" yWindow="-120" windowWidth="24240" windowHeight="13020" activeTab="2" xr2:uid="{90E3A9FA-0E00-48D2-BFE9-7577E25EE9AC}"/>
  </bookViews>
  <sheets>
    <sheet name="csv" sheetId="4" r:id="rId1"/>
    <sheet name="ordens_de_servico" sheetId="1" r:id="rId2"/>
    <sheet name="resumo" sheetId="3" r:id="rId3"/>
  </sheets>
  <definedNames>
    <definedName name="_xlnm._FilterDatabase" localSheetId="2" hidden="1">resumo!$F$7:$J$107</definedName>
  </definedNames>
  <calcPr calcId="191029"/>
</workbook>
</file>

<file path=xl/calcChain.xml><?xml version="1.0" encoding="utf-8"?>
<calcChain xmlns="http://schemas.openxmlformats.org/spreadsheetml/2006/main">
  <c r="D9" i="3" l="1"/>
  <c r="D10" i="3"/>
  <c r="D8" i="3"/>
  <c r="AP1" i="3" l="1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8" i="3"/>
  <c r="D11" i="3" l="1"/>
</calcChain>
</file>

<file path=xl/sharedStrings.xml><?xml version="1.0" encoding="utf-8"?>
<sst xmlns="http://schemas.openxmlformats.org/spreadsheetml/2006/main" count="1124" uniqueCount="271">
  <si>
    <t>ID_OS</t>
  </si>
  <si>
    <t>TAG</t>
  </si>
  <si>
    <t>Equipamento</t>
  </si>
  <si>
    <t>Setor</t>
  </si>
  <si>
    <t>Tipo</t>
  </si>
  <si>
    <t>Data_Abertura</t>
  </si>
  <si>
    <t>Prazo</t>
  </si>
  <si>
    <t>Status</t>
  </si>
  <si>
    <t>Prioridade</t>
  </si>
  <si>
    <t>OS-001</t>
  </si>
  <si>
    <t>CMP-002</t>
  </si>
  <si>
    <t>Compressor de ar 2</t>
  </si>
  <si>
    <t>Utilidades</t>
  </si>
  <si>
    <t>Preventiva</t>
  </si>
  <si>
    <t>Concluída</t>
  </si>
  <si>
    <t>Ana Souza</t>
  </si>
  <si>
    <t>Alta</t>
  </si>
  <si>
    <t>OS-002</t>
  </si>
  <si>
    <t>ARC-001</t>
  </si>
  <si>
    <t>Ar-condicionado central</t>
  </si>
  <si>
    <t>Predial</t>
  </si>
  <si>
    <t>Rafael Costa</t>
  </si>
  <si>
    <t>Média</t>
  </si>
  <si>
    <t>OS-003</t>
  </si>
  <si>
    <t>TRN-001</t>
  </si>
  <si>
    <t>Torno CNC</t>
  </si>
  <si>
    <t>Produção</t>
  </si>
  <si>
    <t>Paula Mendes</t>
  </si>
  <si>
    <t>OS-004</t>
  </si>
  <si>
    <t>OS-005</t>
  </si>
  <si>
    <t>BMB-002</t>
  </si>
  <si>
    <t>Bomba centrífuga 2</t>
  </si>
  <si>
    <t>OS-006</t>
  </si>
  <si>
    <t>BMB-001</t>
  </si>
  <si>
    <t>Bomba centrífuga 1</t>
  </si>
  <si>
    <t>OS-007</t>
  </si>
  <si>
    <t>PRS-001</t>
  </si>
  <si>
    <t>Prensa hidráulica</t>
  </si>
  <si>
    <t>OS-008</t>
  </si>
  <si>
    <t>GER-001</t>
  </si>
  <si>
    <t>Gerador diesel</t>
  </si>
  <si>
    <t>Elétrica</t>
  </si>
  <si>
    <t>Baixa</t>
  </si>
  <si>
    <t>OS-009</t>
  </si>
  <si>
    <t>TRF-001</t>
  </si>
  <si>
    <t>Transformador 500 kVA</t>
  </si>
  <si>
    <t>OS-010</t>
  </si>
  <si>
    <t>OS-011</t>
  </si>
  <si>
    <t>QDF-002</t>
  </si>
  <si>
    <t>Quadro de distribuição B</t>
  </si>
  <si>
    <t>OS-012</t>
  </si>
  <si>
    <t>ELV-001</t>
  </si>
  <si>
    <t>Elevador de carga</t>
  </si>
  <si>
    <t>Marcos Pereira</t>
  </si>
  <si>
    <t>OS-013</t>
  </si>
  <si>
    <t>BMB-003</t>
  </si>
  <si>
    <t>Bomba dosadora</t>
  </si>
  <si>
    <t>Carlos Lima</t>
  </si>
  <si>
    <t>OS-014</t>
  </si>
  <si>
    <t>Juliana Alves</t>
  </si>
  <si>
    <t>OS-015</t>
  </si>
  <si>
    <t>CDR-001</t>
  </si>
  <si>
    <t>Caldeira a vapor</t>
  </si>
  <si>
    <t>OS-016</t>
  </si>
  <si>
    <t>ARC-002</t>
  </si>
  <si>
    <t>Ar-condicionado split sala 2</t>
  </si>
  <si>
    <t>OS-017</t>
  </si>
  <si>
    <t>OS-018</t>
  </si>
  <si>
    <t>QDF-001</t>
  </si>
  <si>
    <t>Quadro de distribuição A</t>
  </si>
  <si>
    <t>OS-019</t>
  </si>
  <si>
    <t>BCI-001</t>
  </si>
  <si>
    <t>Bomba de incêndio</t>
  </si>
  <si>
    <t>OS-020</t>
  </si>
  <si>
    <t>OS-021</t>
  </si>
  <si>
    <t>OS-022</t>
  </si>
  <si>
    <t>Em andamento</t>
  </si>
  <si>
    <t>OS-023</t>
  </si>
  <si>
    <t>OS-024</t>
  </si>
  <si>
    <t>OS-025</t>
  </si>
  <si>
    <t>ELV-002</t>
  </si>
  <si>
    <t>Elevador social</t>
  </si>
  <si>
    <t>OS-026</t>
  </si>
  <si>
    <t>OS-027</t>
  </si>
  <si>
    <t>OS-028</t>
  </si>
  <si>
    <t>OS-029</t>
  </si>
  <si>
    <t>OS-030</t>
  </si>
  <si>
    <t>OS-031</t>
  </si>
  <si>
    <t>OS-032</t>
  </si>
  <si>
    <t>OS-033</t>
  </si>
  <si>
    <t>OS-034</t>
  </si>
  <si>
    <t>Aberta</t>
  </si>
  <si>
    <t>OS-035</t>
  </si>
  <si>
    <t>OS-036</t>
  </si>
  <si>
    <t>OS-037</t>
  </si>
  <si>
    <t>OS-038</t>
  </si>
  <si>
    <t>OS-039</t>
  </si>
  <si>
    <t>OS-040</t>
  </si>
  <si>
    <t>OS-041</t>
  </si>
  <si>
    <t>ESP-001</t>
  </si>
  <si>
    <t>Esteira transportadora</t>
  </si>
  <si>
    <t>OS-042</t>
  </si>
  <si>
    <t>OS-043</t>
  </si>
  <si>
    <t>OS-044</t>
  </si>
  <si>
    <t>OS-045</t>
  </si>
  <si>
    <t>OS-046</t>
  </si>
  <si>
    <t>OS-047</t>
  </si>
  <si>
    <t>EXA-001</t>
  </si>
  <si>
    <t>Exaustor industrial</t>
  </si>
  <si>
    <t>OS-048</t>
  </si>
  <si>
    <t>OS-049</t>
  </si>
  <si>
    <t>OS-050</t>
  </si>
  <si>
    <t>OS-051</t>
  </si>
  <si>
    <t>OS-052</t>
  </si>
  <si>
    <t>OS-053</t>
  </si>
  <si>
    <t>CMP-001</t>
  </si>
  <si>
    <t>Compressor de ar 1</t>
  </si>
  <si>
    <t>OS-054</t>
  </si>
  <si>
    <t>OS-055</t>
  </si>
  <si>
    <t>OS-056</t>
  </si>
  <si>
    <t>OS-057</t>
  </si>
  <si>
    <t>OS-058</t>
  </si>
  <si>
    <t>OS-059</t>
  </si>
  <si>
    <t>OS-060</t>
  </si>
  <si>
    <t>OS-061</t>
  </si>
  <si>
    <t>OS-062</t>
  </si>
  <si>
    <t>OS-063</t>
  </si>
  <si>
    <t>OS-064</t>
  </si>
  <si>
    <t>OS-065</t>
  </si>
  <si>
    <t>OS-066</t>
  </si>
  <si>
    <t>OS-067</t>
  </si>
  <si>
    <t>OS-068</t>
  </si>
  <si>
    <t>OS-069</t>
  </si>
  <si>
    <t>OS-070</t>
  </si>
  <si>
    <t>OS-071</t>
  </si>
  <si>
    <t>OS-072</t>
  </si>
  <si>
    <t>OS-073</t>
  </si>
  <si>
    <t>OS-074</t>
  </si>
  <si>
    <t>OS-075</t>
  </si>
  <si>
    <t>OS-076</t>
  </si>
  <si>
    <t>OS-077</t>
  </si>
  <si>
    <t>OS-078</t>
  </si>
  <si>
    <t>OS-079</t>
  </si>
  <si>
    <t>OS-080</t>
  </si>
  <si>
    <t>OS-081</t>
  </si>
  <si>
    <t>OS-082</t>
  </si>
  <si>
    <t>OS-083</t>
  </si>
  <si>
    <t>OS-084</t>
  </si>
  <si>
    <t>OS-085</t>
  </si>
  <si>
    <t>OS-086</t>
  </si>
  <si>
    <t>OS-087</t>
  </si>
  <si>
    <t>OS-088</t>
  </si>
  <si>
    <t>OS-089</t>
  </si>
  <si>
    <t>OS-090</t>
  </si>
  <si>
    <t>OS-091</t>
  </si>
  <si>
    <t>OS-092</t>
  </si>
  <si>
    <t>OS-093</t>
  </si>
  <si>
    <t>OS-094</t>
  </si>
  <si>
    <t>OS-095</t>
  </si>
  <si>
    <t>OS-096</t>
  </si>
  <si>
    <t>OS-097</t>
  </si>
  <si>
    <t>OS-098</t>
  </si>
  <si>
    <t>OS-099</t>
  </si>
  <si>
    <t>OS-100</t>
  </si>
  <si>
    <t>Data_Conclusão</t>
  </si>
  <si>
    <t>Responsável</t>
  </si>
  <si>
    <t>Total</t>
  </si>
  <si>
    <t>Desvio_de_Prazo</t>
  </si>
  <si>
    <t>Geral</t>
  </si>
  <si>
    <t>ID_OS;TAG;Equipamento;Setor;Tipo;Data_Abertura;Prazo;Data_Conclusao;Status;Responsavel;Prioridade</t>
  </si>
  <si>
    <t>OS-001;CMP-002;Compressor de ar 2;Utilidades;Preventiva;2026-07-22;2026-08-21;2026-08-27;Concluída;Ana Souza;Alta</t>
  </si>
  <si>
    <t>OS-002;ARC-001;Ar-condicionado central;Predial;Preventiva;2026-07-22;2026-08-21;2026-08-19;Concluída;Rafael Costa;Média</t>
  </si>
  <si>
    <t>OS-003;TRN-001;Torno CNC;Produção;Preventiva;2026-07-24;2026-08-23;2026-08-18;Concluída;Paula Mendes;Média</t>
  </si>
  <si>
    <t>OS-004;TRN-001;Torno CNC;Produção;Preventiva;2026-07-25;2026-08-14;2026-08-11;Concluída;Ana Souza;Média</t>
  </si>
  <si>
    <t>OS-005;BMB-002;Bomba centrífuga 2;Utilidades;Preventiva;2026-07-28;2026-08-12;2026-08-07;Concluída;Paula Mendes;Média</t>
  </si>
  <si>
    <t>OS-006;BMB-001;Bomba centrífuga 1;Utilidades;Preventiva;2026-08-05;2026-08-20;2026-08-20;Concluída;Ana Souza;Alta</t>
  </si>
  <si>
    <t>OS-007;PRS-001;Prensa hidráulica;Produção;Preventiva;2026-08-05;2026-08-25;2026-08-20;Concluída;Paula Mendes;Alta</t>
  </si>
  <si>
    <t>OS-008;GER-001;Gerador diesel;Elétrica;Preventiva;2026-08-06;2026-08-13;2026-08-11;Concluída;Rafael Costa;Baixa</t>
  </si>
  <si>
    <t>OS-009;TRF-001;Transformador 500 kVA;Elétrica;Preventiva;2026-08-07;2026-08-17;2026-08-16;Concluída;Ana Souza;Baixa</t>
  </si>
  <si>
    <t>OS-010;TRN-001;Torno CNC;Produção;Preventiva;2026-08-08;2026-08-15;2026-08-12;Concluída;Paula Mendes;Média</t>
  </si>
  <si>
    <t>OS-011;QDF-002;Quadro de distribuição B;Elétrica;Preventiva;2026-08-08;2026-08-15;2026-08-21;Concluída;Paula Mendes;Média</t>
  </si>
  <si>
    <t>OS-012;ELV-001;Elevador de carga;Predial;Preventiva;2026-08-10;2026-08-20;2026-08-18;Concluída;Marcos Pereira;Média</t>
  </si>
  <si>
    <t>OS-013;BMB-003;Bomba dosadora;Utilidades;Preventiva;2026-08-11;2026-08-31;2026-08-27;Concluída;Carlos Lima;Baixa</t>
  </si>
  <si>
    <t>OS-014;TRN-001;Torno CNC;Produção;Preventiva;2026-08-12;2026-09-01;2026-08-28;Concluída;Juliana Alves;Média</t>
  </si>
  <si>
    <t>OS-015;CDR-001;Caldeira a vapor;Utilidades;Preventiva;2026-08-15;2026-08-22;2026-08-19;Concluída;Ana Souza;Alta</t>
  </si>
  <si>
    <t>OS-016;ARC-002;Ar-condicionado split sala 2;Predial;Preventiva;2026-08-16;2026-09-15;2026-09-15;Concluída;Ana Souza;Média</t>
  </si>
  <si>
    <t>OS-017;BMB-001;Bomba centrífuga 1;Utilidades;Preventiva;2026-08-17;2026-09-01;2026-08-29;Concluída;Ana Souza;Baixa</t>
  </si>
  <si>
    <t>OS-018;QDF-001;Quadro de distribuição A;Elétrica;Preventiva;2026-08-18;2026-08-28;2026-08-28;Concluída;Juliana Alves;Baixa</t>
  </si>
  <si>
    <t>OS-019;BCI-001;Bomba de incêndio;Predial;Preventiva;2026-08-19;2026-09-08;2026-09-16;Concluída;Rafael Costa;Alta</t>
  </si>
  <si>
    <t>OS-020;CDR-001;Caldeira a vapor;Utilidades;Preventiva;2026-08-19;2026-08-26;2026-08-23;Concluída;Marcos Pereira;Baixa</t>
  </si>
  <si>
    <t>OS-021;CMP-002;Compressor de ar 2;Utilidades;Preventiva;2026-08-20;2026-08-27;2026-09-05;Concluída;Juliana Alves;Média</t>
  </si>
  <si>
    <t>OS-022;ARC-001;Ar-condicionado central;Predial;Preventiva;2026-08-20;2026-09-09;;Em andamento;Paula Mendes;Baixa</t>
  </si>
  <si>
    <t>OS-023;BCI-001;Bomba de incêndio;Predial;Preventiva;2026-08-22;2026-09-11;2026-09-13;Concluída;Rafael Costa;Baixa</t>
  </si>
  <si>
    <t>OS-024;CMP-002;Compressor de ar 2;Utilidades;Preventiva;2026-08-22;2026-09-11;2026-09-08;Concluída;Marcos Pereira;Baixa</t>
  </si>
  <si>
    <t>OS-025;ELV-002;Elevador social;Predial;Preventiva;2026-08-23;2026-09-02;2026-09-10;Concluída;Marcos Pereira;Baixa</t>
  </si>
  <si>
    <t>OS-026;ARC-002;Ar-condicionado split sala 2;Predial;Preventiva;2026-08-24;2026-09-13;2026-09-17;Concluída;Ana Souza;Média</t>
  </si>
  <si>
    <t>OS-027;BMB-001;Bomba centrífuga 1;Utilidades;Preventiva;2026-08-24;2026-09-23;2026-09-26;Concluída;Juliana Alves;Média</t>
  </si>
  <si>
    <t>OS-028;ARC-001;Ar-condicionado central;Predial;Preventiva;2026-08-28;2026-09-17;;Em andamento;Paula Mendes;Média</t>
  </si>
  <si>
    <t>OS-029;QDF-002;Quadro de distribuição B;Elétrica;Preventiva;2026-08-28;2026-09-04;2026-09-10;Concluída;Paula Mendes;Baixa</t>
  </si>
  <si>
    <t>OS-030;ARC-002;Ar-condicionado split sala 2;Predial;Preventiva;2026-08-30;2026-09-06;;Em andamento;Paula Mendes;Média</t>
  </si>
  <si>
    <t>OS-031;TRF-001;Transformador 500 kVA;Elétrica;Preventiva;2026-08-30;2026-09-19;2026-09-16;Concluída;Paula Mendes;Média</t>
  </si>
  <si>
    <t>OS-032;BCI-001;Bomba de incêndio;Predial;Preventiva;2026-08-31;2026-09-07;;Em andamento;Carlos Lima;Média</t>
  </si>
  <si>
    <t>OS-033;BMB-002;Bomba centrífuga 2;Utilidades;Preventiva;2026-08-31;2026-09-10;2026-09-18;Concluída;Paula Mendes;Baixa</t>
  </si>
  <si>
    <t>OS-034;ARC-002;Ar-condicionado split sala 2;Predial;Preventiva;2026-09-01;2026-09-11;;Aberta;Marcos Pereira;Média</t>
  </si>
  <si>
    <t>OS-035;ARC-002;Ar-condicionado split sala 2;Predial;Preventiva;2026-09-01;2026-09-11;;Aberta;Rafael Costa;Alta</t>
  </si>
  <si>
    <t>OS-036;TRN-001;Torno CNC;Produção;Preventiva;2026-09-02;2026-09-17;2026-09-17;Concluída;Ana Souza;Alta</t>
  </si>
  <si>
    <t>OS-037;CDR-001;Caldeira a vapor;Utilidades;Preventiva;2026-09-02;2026-09-22;;Aberta;Paula Mendes;Alta</t>
  </si>
  <si>
    <t>OS-038;ARC-001;Ar-condicionado central;Predial;Preventiva;2026-09-03;2026-09-23;2026-09-22;Concluída;Carlos Lima;Média</t>
  </si>
  <si>
    <t>OS-039;CMP-002;Compressor de ar 2;Utilidades;Preventiva;2026-09-08;2026-09-18;2026-09-21;Concluída;Juliana Alves;Alta</t>
  </si>
  <si>
    <t>OS-040;ARC-002;Ar-condicionado split sala 2;Predial;Preventiva;2026-09-08;2026-10-08;;Aberta;Paula Mendes;Baixa</t>
  </si>
  <si>
    <t>OS-041;ESP-001;Esteira transportadora;Produção;Preventiva;2026-09-08;2026-09-18;2026-09-14;Concluída;Rafael Costa;Baixa</t>
  </si>
  <si>
    <t>OS-042;BMB-001;Bomba centrífuga 1;Utilidades;Preventiva;2026-09-08;2026-09-18;2026-09-24;Concluída;Carlos Lima;Média</t>
  </si>
  <si>
    <t>OS-043;PRS-001;Prensa hidráulica;Produção;Preventiva;2026-09-09;2026-09-16;;Aberta;Rafael Costa;Média</t>
  </si>
  <si>
    <t>OS-044;BCI-001;Bomba de incêndio;Predial;Preventiva;2026-09-09;2026-10-09;;Aberta;Juliana Alves;Baixa</t>
  </si>
  <si>
    <t>OS-045;CDR-001;Caldeira a vapor;Utilidades;Preventiva;2026-09-09;2026-10-09;;Aberta;Juliana Alves;Média</t>
  </si>
  <si>
    <t>OS-046;QDF-001;Quadro de distribuição A;Elétrica;Preventiva;2026-09-09;2026-10-09;;Aberta;Marcos Pereira;Baixa</t>
  </si>
  <si>
    <t>OS-047;EXA-001;Exaustor industrial;Produção;Preventiva;2026-09-09;2026-10-09;;Em andamento;Juliana Alves;Média</t>
  </si>
  <si>
    <t>OS-048;CMP-002;Compressor de ar 2;Utilidades;Preventiva;2026-09-12;2026-10-02;;Em andamento;Ana Souza;Baixa</t>
  </si>
  <si>
    <t>OS-049;CMP-002;Compressor de ar 2;Utilidades;Preventiva;2026-09-14;2026-09-29;;Em andamento;Marcos Pereira;Média</t>
  </si>
  <si>
    <t>OS-050;GER-001;Gerador diesel;Elétrica;Preventiva;2026-09-15;2026-10-15;;Aberta;Paula Mendes;Média</t>
  </si>
  <si>
    <t>OS-051;EXA-001;Exaustor industrial;Produção;Preventiva;2026-09-17;2026-09-24;;Aberta;Juliana Alves;Baixa</t>
  </si>
  <si>
    <t>OS-052;PRS-001;Prensa hidráulica;Produção;Preventiva;2026-09-18;2026-10-08;;Em andamento;Juliana Alves;Média</t>
  </si>
  <si>
    <t>OS-053;CMP-001;Compressor de ar 1;Utilidades;Preventiva;2026-09-21;2026-10-06;;Em andamento;Marcos Pereira;Média</t>
  </si>
  <si>
    <t>OS-054;BMB-001;Bomba centrífuga 1;Utilidades;Preventiva;2026-09-22;2026-10-07;;Em andamento;Rafael Costa;Média</t>
  </si>
  <si>
    <t>OS-055;BMB-001;Bomba centrífuga 1;Utilidades;Preventiva;2026-09-24;2026-10-14;;Aberta;Paula Mendes;Média</t>
  </si>
  <si>
    <t>OS-056;BMB-003;Bomba dosadora;Utilidades;Preventiva;2026-09-25;2026-10-05;;Aberta;Carlos Lima;Baixa</t>
  </si>
  <si>
    <t>OS-057;CMP-002;Compressor de ar 2;Utilidades;Preventiva;2026-09-25;2026-10-25;;Aberta;Ana Souza;Média</t>
  </si>
  <si>
    <t>OS-058;CMP-002;Compressor de ar 2;Utilidades;Preventiva;2026-09-25;2026-10-15;;Aberta;Carlos Lima;Média</t>
  </si>
  <si>
    <t>OS-059;BMB-001;Bomba centrífuga 1;Utilidades;Preventiva;2026-09-26;2026-10-16;;Em andamento;Carlos Lima;Baixa</t>
  </si>
  <si>
    <t>OS-060;EXA-001;Exaustor industrial;Produção;Preventiva;2026-09-26;2026-10-11;;Em andamento;Paula Mendes;Média</t>
  </si>
  <si>
    <t>OS-061;QDF-001;Quadro de distribuição A;Elétrica;Preventiva;2026-09-26;2026-10-03;;Em andamento;Juliana Alves;Média</t>
  </si>
  <si>
    <t>OS-062;ARC-001;Ar-condicionado central;Predial;Preventiva;2026-09-26;2026-10-06;;Aberta;Rafael Costa;Baixa</t>
  </si>
  <si>
    <t>OS-063;ESP-001;Esteira transportadora;Produção;Preventiva;2026-09-26;2026-10-16;;Aberta;Carlos Lima;Média</t>
  </si>
  <si>
    <t>OS-064;EXA-001;Exaustor industrial;Produção;Preventiva;2026-09-26;2026-10-06;;Aberta;Juliana Alves;Baixa</t>
  </si>
  <si>
    <t>OS-065;TRF-001;Transformador 500 kVA;Elétrica;Preventiva;2026-09-27;2026-10-27;;Em andamento;Rafael Costa;Baixa</t>
  </si>
  <si>
    <t>OS-066;QDF-002;Quadro de distribuição B;Elétrica;Preventiva;2026-09-28;2026-10-05;;Aberta;Marcos Pereira;Média</t>
  </si>
  <si>
    <t>OS-067;TRF-001;Transformador 500 kVA;Elétrica;Preventiva;2026-09-28;2026-10-08;;Aberta;Marcos Pereira;Alta</t>
  </si>
  <si>
    <t>OS-068;CDR-001;Caldeira a vapor;Utilidades;Preventiva;2026-09-28;2026-10-05;;Em andamento;Ana Souza;Média</t>
  </si>
  <si>
    <t>OS-069;EXA-001;Exaustor industrial;Produção;Preventiva;2026-09-28;2026-10-18;;Aberta;Marcos Pereira;Média</t>
  </si>
  <si>
    <t>OS-070;ELV-002;Elevador social;Predial;Preventiva;2026-09-29;2026-10-29;;Aberta;Ana Souza;Baixa</t>
  </si>
  <si>
    <t>OS-071;CMP-001;Compressor de ar 1;Utilidades;Preventiva;2026-09-29;2026-10-09;;Aberta;Marcos Pereira;Alta</t>
  </si>
  <si>
    <t>OS-072;ESP-001;Esteira transportadora;Produção;Preventiva;2026-09-30;2026-10-15;;Em andamento;Ana Souza;Média</t>
  </si>
  <si>
    <t>OS-073;TRF-001;Transformador 500 kVA;Elétrica;Preventiva;2026-09-30;2026-10-10;;Aberta;Ana Souza;Média</t>
  </si>
  <si>
    <t>OS-074;BMB-001;Bomba centrífuga 1;Utilidades;Preventiva;2026-10-02;2026-10-09;;Aberta;Rafael Costa;Alta</t>
  </si>
  <si>
    <t>OS-075;BMB-003;Bomba dosadora;Utilidades;Preventiva;2026-10-03;2026-11-02;;Aberta;Ana Souza;Média</t>
  </si>
  <si>
    <t>OS-076;BMB-002;Bomba centrífuga 2;Utilidades;Preventiva;2026-10-04;2026-10-14;;Em andamento;Ana Souza;Média</t>
  </si>
  <si>
    <t>OS-077;QDF-002;Quadro de distribuição B;Elétrica;Preventiva;2026-10-05;2026-10-15;;Em andamento;Juliana Alves;Média</t>
  </si>
  <si>
    <t>OS-078;BMB-001;Bomba centrífuga 1;Utilidades;Preventiva;2026-10-07;2026-10-27;;Aberta;Rafael Costa;Alta</t>
  </si>
  <si>
    <t>OS-079;QDF-001;Quadro de distribuição A;Elétrica;Preventiva;2026-10-09;2026-11-08;;Aberta;Marcos Pereira;Baixa</t>
  </si>
  <si>
    <t>OS-080;BCI-001;Bomba de incêndio;Predial;Preventiva;2026-10-09;2026-10-24;;Em andamento;Rafael Costa;Média</t>
  </si>
  <si>
    <t>OS-081;CDR-001;Caldeira a vapor;Utilidades;Preventiva;2026-10-10;2026-10-25;;Aberta;Marcos Pereira;Baixa</t>
  </si>
  <si>
    <t>OS-082;ELV-001;Elevador de carga;Predial;Preventiva;2026-10-10;2026-10-30;;Aberta;Paula Mendes;Média</t>
  </si>
  <si>
    <t>OS-083;BMB-001;Bomba centrífuga 1;Utilidades;Preventiva;2026-10-10;2026-10-17;;Aberta;Ana Souza;Alta</t>
  </si>
  <si>
    <t>OS-084;QDF-001;Quadro de distribuição A;Elétrica;Preventiva;2026-10-11;2026-11-10;;Aberta;Juliana Alves;Média</t>
  </si>
  <si>
    <t>OS-085;QDF-001;Quadro de distribuição A;Elétrica;Preventiva;2026-10-12;2026-10-19;;Em andamento;Ana Souza;Alta</t>
  </si>
  <si>
    <t>OS-086;ELV-001;Elevador de carga;Predial;Preventiva;2026-10-13;2026-10-20;;Aberta;Rafael Costa;Alta</t>
  </si>
  <si>
    <t>OS-087;GER-001;Gerador diesel;Elétrica;Preventiva;2026-10-15;2026-10-30;;Aberta;Marcos Pereira;Alta</t>
  </si>
  <si>
    <t>OS-088;ELV-001;Elevador de carga;Predial;Preventiva;2026-10-15;2026-10-22;;Em andamento;Marcos Pereira;Média</t>
  </si>
  <si>
    <t>OS-089;PRS-001;Prensa hidráulica;Produção;Preventiva;2026-10-17;2026-10-27;;Aberta;Marcos Pereira;Média</t>
  </si>
  <si>
    <t>OS-090;CMP-002;Compressor de ar 2;Utilidades;Preventiva;2026-10-17;2026-10-24;;Aberta;Carlos Lima;Média</t>
  </si>
  <si>
    <t>OS-091;CMP-001;Compressor de ar 1;Utilidades;Preventiva;2026-10-18;2026-10-28;;Aberta;Paula Mendes;Baixa</t>
  </si>
  <si>
    <t>OS-092;ARC-001;Ar-condicionado central;Predial;Preventiva;2026-10-21;2026-10-28;;Aberta;Juliana Alves;Média</t>
  </si>
  <si>
    <t>OS-093;TRN-001;Torno CNC;Produção;Preventiva;2026-10-22;2026-11-11;;Aberta;Carlos Lima;Média</t>
  </si>
  <si>
    <t>OS-094;BMB-003;Bomba dosadora;Utilidades;Preventiva;2026-10-24;2026-11-08;;Aberta;Carlos Lima;Alta</t>
  </si>
  <si>
    <t>OS-095;BMB-001;Bomba centrífuga 1;Utilidades;Preventiva;2026-10-26;2026-11-05;;Aberta;Ana Souza;Média</t>
  </si>
  <si>
    <t>OS-096;CMP-001;Compressor de ar 1;Utilidades;Preventiva;2026-10-26;2026-11-05;;Aberta;Rafael Costa;Média</t>
  </si>
  <si>
    <t>OS-097;GER-001;Gerador diesel;Elétrica;Preventiva;2026-10-27;2026-11-03;;Aberta;Paula Mendes;Média</t>
  </si>
  <si>
    <t>OS-098;ARC-002;Ar-condicionado split sala 2;Predial;Preventiva;2026-10-28;2026-11-07;;Aberta;Juliana Alves;Baixa</t>
  </si>
  <si>
    <t>OS-099;EXA-001;Exaustor industrial;Produção;Preventiva;2026-10-29;2026-11-08;;Aberta;Ana Souza;Alta</t>
  </si>
  <si>
    <t>OS-100;TRF-001;Transformador 500 kVA;Elétrica;Preventiva;2026-11-01;2026-11-08;;Aberta;Ana Souza;Média</t>
  </si>
  <si>
    <t>STATUS DAS OS GERAL / 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</si>
</sst>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0.59996337778862885"/>
      </bottom>
      <diagonal/>
    </border>
    <border>
      <left/>
      <right/>
      <top style="medium">
        <color theme="9" tint="-0.499984740745262"/>
      </top>
      <bottom style="medium">
        <color theme="9" tint="0.59996337778862885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0.59996337778862885"/>
      </bottom>
      <diagonal/>
    </border>
    <border>
      <left style="medium">
        <color theme="9" tint="-0.499984740745262"/>
      </left>
      <right/>
      <top style="medium">
        <color theme="9" tint="0.59996337778862885"/>
      </top>
      <bottom style="medium">
        <color theme="9" tint="0.59996337778862885"/>
      </bottom>
      <diagonal/>
    </border>
    <border>
      <left/>
      <right/>
      <top style="medium">
        <color theme="9" tint="0.59996337778862885"/>
      </top>
      <bottom style="medium">
        <color theme="9" tint="0.59996337778862885"/>
      </bottom>
      <diagonal/>
    </border>
    <border>
      <left/>
      <right style="medium">
        <color theme="9" tint="-0.499984740745262"/>
      </right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theme="9" tint="-0.499984740745262"/>
      </left>
      <right/>
      <top style="medium">
        <color theme="9" tint="0.59996337778862885"/>
      </top>
      <bottom style="medium">
        <color theme="9" tint="-0.499984740745262"/>
      </bottom>
      <diagonal/>
    </border>
    <border>
      <left/>
      <right/>
      <top style="medium">
        <color theme="9" tint="0.59996337778862885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0.59996337778862885"/>
      </top>
      <bottom style="medium">
        <color theme="9" tint="-0.499984740745262"/>
      </bottom>
      <diagonal/>
    </border>
    <border>
      <left style="medium">
        <color rgb="FF002060"/>
      </left>
      <right/>
      <top style="medium">
        <color rgb="FF002060"/>
      </top>
      <bottom style="medium">
        <color theme="4" tint="0.79998168889431442"/>
      </bottom>
      <diagonal/>
    </border>
    <border>
      <left/>
      <right style="medium">
        <color rgb="FF002060"/>
      </right>
      <top style="medium">
        <color rgb="FF002060"/>
      </top>
      <bottom style="medium">
        <color theme="4" tint="0.79998168889431442"/>
      </bottom>
      <diagonal/>
    </border>
    <border>
      <left style="medium">
        <color rgb="FF002060"/>
      </left>
      <right/>
      <top style="medium">
        <color theme="4" tint="0.79998168889431442"/>
      </top>
      <bottom style="medium">
        <color theme="4" tint="0.79998168889431442"/>
      </bottom>
      <diagonal/>
    </border>
    <border>
      <left/>
      <right style="medium">
        <color rgb="FF002060"/>
      </right>
      <top style="medium">
        <color theme="4" tint="0.79998168889431442"/>
      </top>
      <bottom style="medium">
        <color theme="4" tint="0.79998168889431442"/>
      </bottom>
      <diagonal/>
    </border>
    <border>
      <left style="medium">
        <color rgb="FF002060"/>
      </left>
      <right/>
      <top style="medium">
        <color theme="4" tint="0.79998168889431442"/>
      </top>
      <bottom style="medium">
        <color rgb="FF002060"/>
      </bottom>
      <diagonal/>
    </border>
    <border>
      <left/>
      <right style="medium">
        <color rgb="FF002060"/>
      </right>
      <top style="medium">
        <color theme="4" tint="0.79998168889431442"/>
      </top>
      <bottom style="medium">
        <color rgb="FF00206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8" fillId="4" borderId="0" xfId="8" applyAlignment="1">
      <alignment horizontal="center"/>
    </xf>
    <xf numFmtId="0" fontId="8" fillId="0" borderId="0" xfId="8" applyFill="1" applyAlignment="1">
      <alignment horizontal="center"/>
    </xf>
    <xf numFmtId="1" fontId="17" fillId="0" borderId="0" xfId="0" applyNumberFormat="1" applyFont="1" applyAlignment="1">
      <alignment horizontal="center"/>
    </xf>
    <xf numFmtId="0" fontId="0" fillId="0" borderId="13" xfId="0" applyBorder="1"/>
    <xf numFmtId="0" fontId="0" fillId="0" borderId="14" xfId="0" applyBorder="1"/>
    <xf numFmtId="14" fontId="0" fillId="0" borderId="14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6" xfId="0" applyBorder="1"/>
    <xf numFmtId="0" fontId="0" fillId="0" borderId="17" xfId="0" applyBorder="1"/>
    <xf numFmtId="14" fontId="0" fillId="0" borderId="17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13" fillId="34" borderId="10" xfId="0" applyFont="1" applyFill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center"/>
    </xf>
    <xf numFmtId="0" fontId="17" fillId="33" borderId="23" xfId="0" applyFont="1" applyFill="1" applyBorder="1" applyAlignment="1">
      <alignment horizontal="left"/>
    </xf>
    <xf numFmtId="1" fontId="17" fillId="33" borderId="24" xfId="0" applyNumberFormat="1" applyFont="1" applyFill="1" applyBorder="1" applyAlignment="1">
      <alignment horizontal="center"/>
    </xf>
    <xf numFmtId="0" fontId="13" fillId="34" borderId="11" xfId="0" applyFont="1" applyFill="1" applyBorder="1" applyAlignment="1">
      <alignment horizontal="center"/>
    </xf>
    <xf numFmtId="0" fontId="13" fillId="34" borderId="12" xfId="0" applyFont="1" applyFill="1" applyBorder="1" applyAlignment="1">
      <alignment horizontal="center"/>
    </xf>
    <xf numFmtId="14" fontId="0" fillId="34" borderId="0" xfId="0" applyNumberFormat="1" applyFill="1" applyAlignment="1">
      <alignment horizontal="center"/>
    </xf>
    <xf numFmtId="14" fontId="18" fillId="34" borderId="0" xfId="0" applyNumberFormat="1" applyFont="1" applyFill="1"/>
    <xf numFmtId="0" fontId="0" fillId="0" borderId="0" xfId="0" applyAlignment="1">
      <alignment horizontal="center" wrapText="1"/>
    </xf>
    <xf numFmtId="0" fontId="13" fillId="34" borderId="19" xfId="0" applyFont="1" applyFill="1" applyBorder="1" applyAlignment="1">
      <alignment horizontal="center"/>
    </xf>
    <xf numFmtId="0" fontId="13" fillId="34" borderId="2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7">
    <dxf>
      <font>
        <b/>
        <i/>
        <color rgb="FFFF6C5D"/>
      </font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4" tint="-0.24994659260841701"/>
      </font>
      <fill>
        <patternFill>
          <bgColor theme="8" tint="0.5999633777886288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6C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0</xdr:row>
      <xdr:rowOff>331096</xdr:rowOff>
    </xdr:from>
    <xdr:to>
      <xdr:col>6</xdr:col>
      <xdr:colOff>466725</xdr:colOff>
      <xdr:row>0</xdr:row>
      <xdr:rowOff>373817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B0CD6724-CF5F-074F-E0DD-6A9335DE5FD0}"/>
            </a:ext>
          </a:extLst>
        </xdr:cNvPr>
        <xdr:cNvSpPr/>
      </xdr:nvSpPr>
      <xdr:spPr>
        <a:xfrm>
          <a:off x="1495425" y="331096"/>
          <a:ext cx="6591300" cy="427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57150</xdr:colOff>
      <xdr:row>0</xdr:row>
      <xdr:rowOff>76200</xdr:rowOff>
    </xdr:from>
    <xdr:to>
      <xdr:col>2</xdr:col>
      <xdr:colOff>161925</xdr:colOff>
      <xdr:row>0</xdr:row>
      <xdr:rowOff>514350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927FF51D-5578-AE91-ADF1-42477E91260C}"/>
            </a:ext>
          </a:extLst>
        </xdr:cNvPr>
        <xdr:cNvSpPr/>
      </xdr:nvSpPr>
      <xdr:spPr>
        <a:xfrm>
          <a:off x="1276350" y="457200"/>
          <a:ext cx="104775" cy="4381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476252</xdr:colOff>
      <xdr:row>2</xdr:row>
      <xdr:rowOff>66676</xdr:rowOff>
    </xdr:from>
    <xdr:to>
      <xdr:col>3</xdr:col>
      <xdr:colOff>285750</xdr:colOff>
      <xdr:row>3</xdr:row>
      <xdr:rowOff>190499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C8FD03A6-19C9-A8CE-79D7-F6450546F59F}"/>
            </a:ext>
          </a:extLst>
        </xdr:cNvPr>
        <xdr:cNvGrpSpPr/>
      </xdr:nvGrpSpPr>
      <xdr:grpSpPr>
        <a:xfrm>
          <a:off x="1085852" y="828676"/>
          <a:ext cx="1676398" cy="314323"/>
          <a:chOff x="1085852" y="1590676"/>
          <a:chExt cx="1676398" cy="314323"/>
        </a:xfrm>
      </xdr:grpSpPr>
      <xdr:pic>
        <xdr:nvPicPr>
          <xdr:cNvPr id="7" name="Gráfico 6" descr="Filtro">
            <a:extLst>
              <a:ext uri="{FF2B5EF4-FFF2-40B4-BE49-F238E27FC236}">
                <a16:creationId xmlns:a16="http://schemas.microsoft.com/office/drawing/2014/main" id="{A3D4E849-7562-CC06-3D86-549629D134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85852" y="1590676"/>
            <a:ext cx="314323" cy="314323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17BB2128-E218-238F-BE02-788FF9541D0A}"/>
              </a:ext>
            </a:extLst>
          </xdr:cNvPr>
          <xdr:cNvSpPr txBox="1"/>
        </xdr:nvSpPr>
        <xdr:spPr>
          <a:xfrm>
            <a:off x="1228725" y="1628775"/>
            <a:ext cx="153352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>
                <a:solidFill>
                  <a:schemeClr val="accent6">
                    <a:lumMod val="50000"/>
                  </a:schemeClr>
                </a:solidFill>
              </a:rPr>
              <a:t>Filtre</a:t>
            </a:r>
            <a:r>
              <a:rPr lang="pt-BR" sz="1100" baseline="0">
                <a:solidFill>
                  <a:schemeClr val="accent6">
                    <a:lumMod val="50000"/>
                  </a:schemeClr>
                </a:solidFill>
              </a:rPr>
              <a:t> o reponsável aqui</a:t>
            </a:r>
            <a:endParaRPr lang="pt-BR" sz="1100">
              <a:solidFill>
                <a:schemeClr val="accent6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209550</xdr:colOff>
      <xdr:row>0</xdr:row>
      <xdr:rowOff>0</xdr:rowOff>
    </xdr:from>
    <xdr:to>
      <xdr:col>7</xdr:col>
      <xdr:colOff>152400</xdr:colOff>
      <xdr:row>0</xdr:row>
      <xdr:rowOff>542925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82DB45B3-CD72-4A45-5A71-310EE81826CD}"/>
            </a:ext>
          </a:extLst>
        </xdr:cNvPr>
        <xdr:cNvGrpSpPr/>
      </xdr:nvGrpSpPr>
      <xdr:grpSpPr>
        <a:xfrm>
          <a:off x="1428750" y="0"/>
          <a:ext cx="8058150" cy="542925"/>
          <a:chOff x="1581150" y="323850"/>
          <a:chExt cx="8058150" cy="581025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79FC1DC9-5B16-7D10-0F30-48DEB00BC641}"/>
              </a:ext>
            </a:extLst>
          </xdr:cNvPr>
          <xdr:cNvSpPr txBox="1"/>
        </xdr:nvSpPr>
        <xdr:spPr>
          <a:xfrm>
            <a:off x="1600200" y="647700"/>
            <a:ext cx="540067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i="1">
                <a:solidFill>
                  <a:schemeClr val="bg1"/>
                </a:solidFill>
              </a:rPr>
              <a:t>Acompanhamento de ordens de serviço, prazos e status por responsável</a:t>
            </a:r>
            <a:endParaRPr lang="pt-BR" sz="1100" i="1">
              <a:solidFill>
                <a:schemeClr val="bg1"/>
              </a:solidFill>
            </a:endParaRPr>
          </a:p>
        </xdr:txBody>
      </xdr:sp>
      <xdr:sp macro="" textlink="">
        <xdr:nvSpPr>
          <xdr:cNvPr id="2" name="CaixaDeTexto 1">
            <a:extLst>
              <a:ext uri="{FF2B5EF4-FFF2-40B4-BE49-F238E27FC236}">
                <a16:creationId xmlns:a16="http://schemas.microsoft.com/office/drawing/2014/main" id="{DF76171B-CD8D-2540-4AD5-0FF7744C6E05}"/>
              </a:ext>
            </a:extLst>
          </xdr:cNvPr>
          <xdr:cNvSpPr txBox="1"/>
        </xdr:nvSpPr>
        <xdr:spPr>
          <a:xfrm>
            <a:off x="1581150" y="323850"/>
            <a:ext cx="8058150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>
                <a:solidFill>
                  <a:schemeClr val="bg1"/>
                </a:solidFill>
              </a:rPr>
              <a:t>Gestão de Manutenção Preventiva por Responsável</a:t>
            </a:r>
          </a:p>
        </xdr:txBody>
      </xdr:sp>
    </xdr:grpSp>
    <xdr:clientData/>
  </xdr:twoCellAnchor>
  <xdr:twoCellAnchor>
    <xdr:from>
      <xdr:col>5</xdr:col>
      <xdr:colOff>247651</xdr:colOff>
      <xdr:row>0</xdr:row>
      <xdr:rowOff>302614</xdr:rowOff>
    </xdr:from>
    <xdr:to>
      <xdr:col>5</xdr:col>
      <xdr:colOff>1657351</xdr:colOff>
      <xdr:row>0</xdr:row>
      <xdr:rowOff>552450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33AE54EB-A965-AFCE-FB67-B902993745E9}"/>
            </a:ext>
          </a:extLst>
        </xdr:cNvPr>
        <xdr:cNvSpPr txBox="1"/>
      </xdr:nvSpPr>
      <xdr:spPr>
        <a:xfrm>
          <a:off x="6153151" y="302614"/>
          <a:ext cx="1409700" cy="249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1">
              <a:solidFill>
                <a:schemeClr val="bg1"/>
              </a:solidFill>
            </a:rPr>
            <a:t>Data de referência:</a:t>
          </a:r>
        </a:p>
      </xdr:txBody>
    </xdr:sp>
    <xdr:clientData/>
  </xdr:twoCellAnchor>
  <xdr:twoCellAnchor>
    <xdr:from>
      <xdr:col>5</xdr:col>
      <xdr:colOff>1381125</xdr:colOff>
      <xdr:row>0</xdr:row>
      <xdr:rowOff>302614</xdr:rowOff>
    </xdr:from>
    <xdr:to>
      <xdr:col>6</xdr:col>
      <xdr:colOff>533400</xdr:colOff>
      <xdr:row>0</xdr:row>
      <xdr:rowOff>489523</xdr:rowOff>
    </xdr:to>
    <xdr:sp macro="" textlink="AP1">
      <xdr:nvSpPr>
        <xdr:cNvPr id="11" name="CaixaDeTexto 10">
          <a:extLst>
            <a:ext uri="{FF2B5EF4-FFF2-40B4-BE49-F238E27FC236}">
              <a16:creationId xmlns:a16="http://schemas.microsoft.com/office/drawing/2014/main" id="{F2621725-7C04-4AE0-A2DA-67BA3B466B00}"/>
            </a:ext>
          </a:extLst>
        </xdr:cNvPr>
        <xdr:cNvSpPr txBox="1"/>
      </xdr:nvSpPr>
      <xdr:spPr>
        <a:xfrm>
          <a:off x="7286625" y="302614"/>
          <a:ext cx="866775" cy="186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2226BD8-8C80-4BAE-81B6-B26FDA9181C8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09/10/2026</a:t>
          </a:fld>
          <a:endParaRPr lang="pt-BR" sz="1100" b="0" i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87163-13F7-4428-9019-78EFDE42D9BC}" name="tbOrdens" displayName="tbOrdens" ref="A1:K101" totalsRowShown="0" headerRowDxfId="16" dataDxfId="15">
  <autoFilter ref="A1:K101" xr:uid="{E2187163-13F7-4428-9019-78EFDE42D9BC}"/>
  <tableColumns count="11">
    <tableColumn id="1" xr3:uid="{F8F40EFE-2357-4846-8047-EA4687A21A63}" name="ID_OS" dataDxfId="14"/>
    <tableColumn id="2" xr3:uid="{7908A709-BCC8-4712-95C7-4034B25F3274}" name="TAG" dataDxfId="13"/>
    <tableColumn id="3" xr3:uid="{A8382A56-B892-4E96-AEF1-992A6AD6EBA1}" name="Equipamento" dataDxfId="12"/>
    <tableColumn id="4" xr3:uid="{B766ACC2-6EB7-4479-AE57-8A9B458072A4}" name="Setor" dataDxfId="11"/>
    <tableColumn id="5" xr3:uid="{FC20F00F-3D5D-4A29-A404-B10DA46E729A}" name="Tipo" dataDxfId="10"/>
    <tableColumn id="6" xr3:uid="{66E6AFB2-AF3E-419C-9FE3-7C8951E523B0}" name="Data_Abertura" dataDxfId="9"/>
    <tableColumn id="7" xr3:uid="{1A927EB5-E3A8-41FB-9BFD-58DCF5E6076B}" name="Prazo" dataDxfId="8"/>
    <tableColumn id="8" xr3:uid="{F3373CC9-8C64-47EC-8931-162FADDE9B31}" name="Data_Conclusão" dataDxfId="7"/>
    <tableColumn id="9" xr3:uid="{F411F323-1B9A-4435-9C0D-498B188D05DF}" name="Status" dataDxfId="6"/>
    <tableColumn id="10" xr3:uid="{585BA493-B386-4A09-A922-84456D77F843}" name="Responsável" dataDxfId="5"/>
    <tableColumn id="11" xr3:uid="{AA2A6330-86A3-4EE4-9B5B-9DF8D658CD96}" name="Prioridad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016F-5910-4C3B-831D-609D3684589D}">
  <dimension ref="A1:A101"/>
  <sheetViews>
    <sheetView workbookViewId="0">
      <selection activeCell="F1" sqref="F1"/>
    </sheetView>
  </sheetViews>
  <sheetFormatPr defaultRowHeight="15" x14ac:dyDescent="0.25"/>
  <sheetData>
    <row r="1" spans="1:1" x14ac:dyDescent="0.25">
      <c r="A1" t="s">
        <v>169</v>
      </c>
    </row>
    <row r="2" spans="1:1" x14ac:dyDescent="0.25">
      <c r="A2" t="s">
        <v>170</v>
      </c>
    </row>
    <row r="3" spans="1:1" x14ac:dyDescent="0.25">
      <c r="A3" t="s">
        <v>171</v>
      </c>
    </row>
    <row r="4" spans="1:1" x14ac:dyDescent="0.25">
      <c r="A4" t="s">
        <v>172</v>
      </c>
    </row>
    <row r="5" spans="1:1" x14ac:dyDescent="0.25">
      <c r="A5" t="s">
        <v>173</v>
      </c>
    </row>
    <row r="6" spans="1:1" x14ac:dyDescent="0.25">
      <c r="A6" t="s">
        <v>174</v>
      </c>
    </row>
    <row r="7" spans="1:1" x14ac:dyDescent="0.25">
      <c r="A7" t="s">
        <v>175</v>
      </c>
    </row>
    <row r="8" spans="1:1" x14ac:dyDescent="0.25">
      <c r="A8" t="s">
        <v>176</v>
      </c>
    </row>
    <row r="9" spans="1:1" x14ac:dyDescent="0.25">
      <c r="A9" t="s">
        <v>177</v>
      </c>
    </row>
    <row r="10" spans="1:1" x14ac:dyDescent="0.25">
      <c r="A10" t="s">
        <v>178</v>
      </c>
    </row>
    <row r="11" spans="1:1" x14ac:dyDescent="0.25">
      <c r="A11" t="s">
        <v>179</v>
      </c>
    </row>
    <row r="12" spans="1:1" x14ac:dyDescent="0.25">
      <c r="A12" t="s">
        <v>180</v>
      </c>
    </row>
    <row r="13" spans="1:1" x14ac:dyDescent="0.25">
      <c r="A13" t="s">
        <v>181</v>
      </c>
    </row>
    <row r="14" spans="1:1" x14ac:dyDescent="0.25">
      <c r="A14" t="s">
        <v>182</v>
      </c>
    </row>
    <row r="15" spans="1:1" x14ac:dyDescent="0.25">
      <c r="A15" t="s">
        <v>183</v>
      </c>
    </row>
    <row r="16" spans="1:1" x14ac:dyDescent="0.25">
      <c r="A16" t="s">
        <v>184</v>
      </c>
    </row>
    <row r="17" spans="1:1" x14ac:dyDescent="0.25">
      <c r="A17" t="s">
        <v>185</v>
      </c>
    </row>
    <row r="18" spans="1:1" x14ac:dyDescent="0.25">
      <c r="A18" t="s">
        <v>186</v>
      </c>
    </row>
    <row r="19" spans="1:1" x14ac:dyDescent="0.25">
      <c r="A19" t="s">
        <v>187</v>
      </c>
    </row>
    <row r="20" spans="1:1" x14ac:dyDescent="0.25">
      <c r="A20" t="s">
        <v>188</v>
      </c>
    </row>
    <row r="21" spans="1:1" x14ac:dyDescent="0.25">
      <c r="A21" t="s">
        <v>189</v>
      </c>
    </row>
    <row r="22" spans="1:1" x14ac:dyDescent="0.25">
      <c r="A22" t="s">
        <v>190</v>
      </c>
    </row>
    <row r="23" spans="1:1" x14ac:dyDescent="0.25">
      <c r="A23" t="s">
        <v>191</v>
      </c>
    </row>
    <row r="24" spans="1:1" x14ac:dyDescent="0.25">
      <c r="A24" t="s">
        <v>192</v>
      </c>
    </row>
    <row r="25" spans="1:1" x14ac:dyDescent="0.25">
      <c r="A25" t="s">
        <v>193</v>
      </c>
    </row>
    <row r="26" spans="1:1" x14ac:dyDescent="0.25">
      <c r="A26" t="s">
        <v>194</v>
      </c>
    </row>
    <row r="27" spans="1:1" x14ac:dyDescent="0.25">
      <c r="A27" t="s">
        <v>195</v>
      </c>
    </row>
    <row r="28" spans="1:1" x14ac:dyDescent="0.25">
      <c r="A28" t="s">
        <v>196</v>
      </c>
    </row>
    <row r="29" spans="1:1" x14ac:dyDescent="0.25">
      <c r="A29" t="s">
        <v>197</v>
      </c>
    </row>
    <row r="30" spans="1:1" x14ac:dyDescent="0.25">
      <c r="A30" t="s">
        <v>198</v>
      </c>
    </row>
    <row r="31" spans="1:1" x14ac:dyDescent="0.25">
      <c r="A31" t="s">
        <v>199</v>
      </c>
    </row>
    <row r="32" spans="1:1" x14ac:dyDescent="0.25">
      <c r="A32" t="s">
        <v>200</v>
      </c>
    </row>
    <row r="33" spans="1:1" x14ac:dyDescent="0.25">
      <c r="A33" t="s">
        <v>201</v>
      </c>
    </row>
    <row r="34" spans="1:1" x14ac:dyDescent="0.25">
      <c r="A34" t="s">
        <v>202</v>
      </c>
    </row>
    <row r="35" spans="1:1" x14ac:dyDescent="0.25">
      <c r="A35" t="s">
        <v>203</v>
      </c>
    </row>
    <row r="36" spans="1:1" x14ac:dyDescent="0.25">
      <c r="A36" t="s">
        <v>204</v>
      </c>
    </row>
    <row r="37" spans="1:1" x14ac:dyDescent="0.25">
      <c r="A37" t="s">
        <v>205</v>
      </c>
    </row>
    <row r="38" spans="1:1" x14ac:dyDescent="0.25">
      <c r="A38" t="s">
        <v>206</v>
      </c>
    </row>
    <row r="39" spans="1:1" x14ac:dyDescent="0.25">
      <c r="A39" t="s">
        <v>207</v>
      </c>
    </row>
    <row r="40" spans="1:1" x14ac:dyDescent="0.25">
      <c r="A40" t="s">
        <v>208</v>
      </c>
    </row>
    <row r="41" spans="1:1" x14ac:dyDescent="0.25">
      <c r="A41" t="s">
        <v>209</v>
      </c>
    </row>
    <row r="42" spans="1:1" x14ac:dyDescent="0.25">
      <c r="A42" t="s">
        <v>210</v>
      </c>
    </row>
    <row r="43" spans="1:1" x14ac:dyDescent="0.25">
      <c r="A43" t="s">
        <v>211</v>
      </c>
    </row>
    <row r="44" spans="1:1" x14ac:dyDescent="0.25">
      <c r="A44" t="s">
        <v>212</v>
      </c>
    </row>
    <row r="45" spans="1:1" x14ac:dyDescent="0.25">
      <c r="A45" t="s">
        <v>213</v>
      </c>
    </row>
    <row r="46" spans="1:1" x14ac:dyDescent="0.25">
      <c r="A46" t="s">
        <v>214</v>
      </c>
    </row>
    <row r="47" spans="1:1" x14ac:dyDescent="0.25">
      <c r="A47" t="s">
        <v>215</v>
      </c>
    </row>
    <row r="48" spans="1:1" x14ac:dyDescent="0.25">
      <c r="A48" t="s">
        <v>216</v>
      </c>
    </row>
    <row r="49" spans="1:1" x14ac:dyDescent="0.25">
      <c r="A49" t="s">
        <v>217</v>
      </c>
    </row>
    <row r="50" spans="1:1" x14ac:dyDescent="0.25">
      <c r="A50" t="s">
        <v>218</v>
      </c>
    </row>
    <row r="51" spans="1:1" x14ac:dyDescent="0.25">
      <c r="A51" t="s">
        <v>219</v>
      </c>
    </row>
    <row r="52" spans="1:1" x14ac:dyDescent="0.25">
      <c r="A52" t="s">
        <v>220</v>
      </c>
    </row>
    <row r="53" spans="1:1" x14ac:dyDescent="0.25">
      <c r="A53" t="s">
        <v>221</v>
      </c>
    </row>
    <row r="54" spans="1:1" x14ac:dyDescent="0.25">
      <c r="A54" t="s">
        <v>222</v>
      </c>
    </row>
    <row r="55" spans="1:1" x14ac:dyDescent="0.25">
      <c r="A55" t="s">
        <v>223</v>
      </c>
    </row>
    <row r="56" spans="1:1" x14ac:dyDescent="0.25">
      <c r="A56" t="s">
        <v>224</v>
      </c>
    </row>
    <row r="57" spans="1:1" x14ac:dyDescent="0.25">
      <c r="A57" t="s">
        <v>225</v>
      </c>
    </row>
    <row r="58" spans="1:1" x14ac:dyDescent="0.25">
      <c r="A58" t="s">
        <v>226</v>
      </c>
    </row>
    <row r="59" spans="1:1" x14ac:dyDescent="0.25">
      <c r="A59" t="s">
        <v>227</v>
      </c>
    </row>
    <row r="60" spans="1:1" x14ac:dyDescent="0.25">
      <c r="A60" t="s">
        <v>228</v>
      </c>
    </row>
    <row r="61" spans="1:1" x14ac:dyDescent="0.25">
      <c r="A61" t="s">
        <v>229</v>
      </c>
    </row>
    <row r="62" spans="1:1" x14ac:dyDescent="0.25">
      <c r="A62" t="s">
        <v>230</v>
      </c>
    </row>
    <row r="63" spans="1:1" x14ac:dyDescent="0.25">
      <c r="A63" t="s">
        <v>231</v>
      </c>
    </row>
    <row r="64" spans="1:1" x14ac:dyDescent="0.25">
      <c r="A64" t="s">
        <v>232</v>
      </c>
    </row>
    <row r="65" spans="1:1" x14ac:dyDescent="0.25">
      <c r="A65" t="s">
        <v>233</v>
      </c>
    </row>
    <row r="66" spans="1:1" x14ac:dyDescent="0.25">
      <c r="A66" t="s">
        <v>234</v>
      </c>
    </row>
    <row r="67" spans="1:1" x14ac:dyDescent="0.25">
      <c r="A67" t="s">
        <v>235</v>
      </c>
    </row>
    <row r="68" spans="1:1" x14ac:dyDescent="0.25">
      <c r="A68" t="s">
        <v>236</v>
      </c>
    </row>
    <row r="69" spans="1:1" x14ac:dyDescent="0.25">
      <c r="A69" t="s">
        <v>237</v>
      </c>
    </row>
    <row r="70" spans="1:1" x14ac:dyDescent="0.25">
      <c r="A70" t="s">
        <v>238</v>
      </c>
    </row>
    <row r="71" spans="1:1" x14ac:dyDescent="0.25">
      <c r="A71" t="s">
        <v>239</v>
      </c>
    </row>
    <row r="72" spans="1:1" x14ac:dyDescent="0.25">
      <c r="A72" t="s">
        <v>240</v>
      </c>
    </row>
    <row r="73" spans="1:1" x14ac:dyDescent="0.25">
      <c r="A73" t="s">
        <v>241</v>
      </c>
    </row>
    <row r="74" spans="1:1" x14ac:dyDescent="0.25">
      <c r="A74" t="s">
        <v>242</v>
      </c>
    </row>
    <row r="75" spans="1:1" x14ac:dyDescent="0.25">
      <c r="A75" t="s">
        <v>243</v>
      </c>
    </row>
    <row r="76" spans="1:1" x14ac:dyDescent="0.25">
      <c r="A76" t="s">
        <v>244</v>
      </c>
    </row>
    <row r="77" spans="1:1" x14ac:dyDescent="0.25">
      <c r="A77" t="s">
        <v>245</v>
      </c>
    </row>
    <row r="78" spans="1:1" x14ac:dyDescent="0.25">
      <c r="A78" t="s">
        <v>246</v>
      </c>
    </row>
    <row r="79" spans="1:1" x14ac:dyDescent="0.25">
      <c r="A79" t="s">
        <v>247</v>
      </c>
    </row>
    <row r="80" spans="1:1" x14ac:dyDescent="0.25">
      <c r="A80" t="s">
        <v>248</v>
      </c>
    </row>
    <row r="81" spans="1:1" x14ac:dyDescent="0.25">
      <c r="A81" t="s">
        <v>249</v>
      </c>
    </row>
    <row r="82" spans="1:1" x14ac:dyDescent="0.25">
      <c r="A82" t="s">
        <v>250</v>
      </c>
    </row>
    <row r="83" spans="1:1" x14ac:dyDescent="0.25">
      <c r="A83" t="s">
        <v>251</v>
      </c>
    </row>
    <row r="84" spans="1:1" x14ac:dyDescent="0.25">
      <c r="A84" t="s">
        <v>252</v>
      </c>
    </row>
    <row r="85" spans="1:1" x14ac:dyDescent="0.25">
      <c r="A85" t="s">
        <v>253</v>
      </c>
    </row>
    <row r="86" spans="1:1" x14ac:dyDescent="0.25">
      <c r="A86" t="s">
        <v>254</v>
      </c>
    </row>
    <row r="87" spans="1:1" x14ac:dyDescent="0.25">
      <c r="A87" t="s">
        <v>255</v>
      </c>
    </row>
    <row r="88" spans="1:1" x14ac:dyDescent="0.25">
      <c r="A88" t="s">
        <v>256</v>
      </c>
    </row>
    <row r="89" spans="1:1" x14ac:dyDescent="0.25">
      <c r="A89" t="s">
        <v>257</v>
      </c>
    </row>
    <row r="90" spans="1:1" x14ac:dyDescent="0.25">
      <c r="A90" t="s">
        <v>258</v>
      </c>
    </row>
    <row r="91" spans="1:1" x14ac:dyDescent="0.25">
      <c r="A91" t="s">
        <v>259</v>
      </c>
    </row>
    <row r="92" spans="1:1" x14ac:dyDescent="0.25">
      <c r="A92" t="s">
        <v>260</v>
      </c>
    </row>
    <row r="93" spans="1:1" x14ac:dyDescent="0.25">
      <c r="A93" t="s">
        <v>261</v>
      </c>
    </row>
    <row r="94" spans="1:1" x14ac:dyDescent="0.25">
      <c r="A94" t="s">
        <v>262</v>
      </c>
    </row>
    <row r="95" spans="1:1" x14ac:dyDescent="0.25">
      <c r="A95" t="s">
        <v>263</v>
      </c>
    </row>
    <row r="96" spans="1:1" x14ac:dyDescent="0.25">
      <c r="A96" t="s">
        <v>264</v>
      </c>
    </row>
    <row r="97" spans="1:1" x14ac:dyDescent="0.25">
      <c r="A97" t="s">
        <v>265</v>
      </c>
    </row>
    <row r="98" spans="1:1" x14ac:dyDescent="0.25">
      <c r="A98" t="s">
        <v>266</v>
      </c>
    </row>
    <row r="99" spans="1:1" x14ac:dyDescent="0.25">
      <c r="A99" t="s">
        <v>267</v>
      </c>
    </row>
    <row r="100" spans="1:1" x14ac:dyDescent="0.25">
      <c r="A100" t="s">
        <v>268</v>
      </c>
    </row>
    <row r="101" spans="1:1" x14ac:dyDescent="0.25">
      <c r="A101" t="s">
        <v>269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C0FA6-4804-4F52-95BC-5EEDAE952162}">
  <dimension ref="A1:K101"/>
  <sheetViews>
    <sheetView workbookViewId="0">
      <selection activeCell="G1" sqref="G1"/>
    </sheetView>
  </sheetViews>
  <sheetFormatPr defaultRowHeight="15" x14ac:dyDescent="0.25"/>
  <cols>
    <col min="1" max="1" width="12.5703125" customWidth="1"/>
    <col min="2" max="2" width="8.7109375" bestFit="1" customWidth="1"/>
    <col min="3" max="3" width="25.7109375" bestFit="1" customWidth="1"/>
    <col min="4" max="4" width="13.28515625" customWidth="1"/>
    <col min="5" max="5" width="13" customWidth="1"/>
    <col min="6" max="6" width="18.5703125" bestFit="1" customWidth="1"/>
    <col min="7" max="7" width="13.85546875" customWidth="1"/>
    <col min="8" max="8" width="22.42578125" customWidth="1"/>
    <col min="9" max="9" width="14.42578125" bestFit="1" customWidth="1"/>
    <col min="10" max="10" width="18.85546875" customWidth="1"/>
    <col min="11" max="11" width="16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7</v>
      </c>
      <c r="J1" s="1" t="s">
        <v>165</v>
      </c>
      <c r="K1" s="1" t="s">
        <v>8</v>
      </c>
    </row>
    <row r="2" spans="1:1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46225</v>
      </c>
      <c r="G2" s="2">
        <v>46255</v>
      </c>
      <c r="H2" s="2">
        <v>46261</v>
      </c>
      <c r="I2" s="1" t="s">
        <v>14</v>
      </c>
      <c r="J2" s="1" t="s">
        <v>15</v>
      </c>
      <c r="K2" s="1" t="s">
        <v>16</v>
      </c>
    </row>
    <row r="3" spans="1:11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13</v>
      </c>
      <c r="F3" s="2">
        <v>46225</v>
      </c>
      <c r="G3" s="2">
        <v>46255</v>
      </c>
      <c r="H3" s="2">
        <v>46253</v>
      </c>
      <c r="I3" s="1" t="s">
        <v>14</v>
      </c>
      <c r="J3" s="1" t="s">
        <v>21</v>
      </c>
      <c r="K3" s="1" t="s">
        <v>22</v>
      </c>
    </row>
    <row r="4" spans="1:11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13</v>
      </c>
      <c r="F4" s="2">
        <v>46227</v>
      </c>
      <c r="G4" s="2">
        <v>46257</v>
      </c>
      <c r="H4" s="2">
        <v>46252</v>
      </c>
      <c r="I4" s="1" t="s">
        <v>14</v>
      </c>
      <c r="J4" s="1" t="s">
        <v>27</v>
      </c>
      <c r="K4" s="1" t="s">
        <v>22</v>
      </c>
    </row>
    <row r="5" spans="1:11" x14ac:dyDescent="0.25">
      <c r="A5" s="1" t="s">
        <v>28</v>
      </c>
      <c r="B5" s="1" t="s">
        <v>24</v>
      </c>
      <c r="C5" s="1" t="s">
        <v>25</v>
      </c>
      <c r="D5" s="1" t="s">
        <v>26</v>
      </c>
      <c r="E5" s="1" t="s">
        <v>13</v>
      </c>
      <c r="F5" s="2">
        <v>46228</v>
      </c>
      <c r="G5" s="2">
        <v>46248</v>
      </c>
      <c r="H5" s="2">
        <v>46245</v>
      </c>
      <c r="I5" s="1" t="s">
        <v>14</v>
      </c>
      <c r="J5" s="1" t="s">
        <v>15</v>
      </c>
      <c r="K5" s="1" t="s">
        <v>22</v>
      </c>
    </row>
    <row r="6" spans="1:11" x14ac:dyDescent="0.25">
      <c r="A6" s="1" t="s">
        <v>29</v>
      </c>
      <c r="B6" s="1" t="s">
        <v>30</v>
      </c>
      <c r="C6" s="1" t="s">
        <v>31</v>
      </c>
      <c r="D6" s="1" t="s">
        <v>12</v>
      </c>
      <c r="E6" s="1" t="s">
        <v>13</v>
      </c>
      <c r="F6" s="2">
        <v>46231</v>
      </c>
      <c r="G6" s="2">
        <v>46246</v>
      </c>
      <c r="H6" s="2">
        <v>46241</v>
      </c>
      <c r="I6" s="1" t="s">
        <v>14</v>
      </c>
      <c r="J6" s="1" t="s">
        <v>27</v>
      </c>
      <c r="K6" s="1" t="s">
        <v>22</v>
      </c>
    </row>
    <row r="7" spans="1:11" x14ac:dyDescent="0.25">
      <c r="A7" s="1" t="s">
        <v>32</v>
      </c>
      <c r="B7" s="1" t="s">
        <v>33</v>
      </c>
      <c r="C7" s="1" t="s">
        <v>34</v>
      </c>
      <c r="D7" s="1" t="s">
        <v>12</v>
      </c>
      <c r="E7" s="1" t="s">
        <v>13</v>
      </c>
      <c r="F7" s="2">
        <v>46239</v>
      </c>
      <c r="G7" s="2">
        <v>46254</v>
      </c>
      <c r="H7" s="2">
        <v>46254</v>
      </c>
      <c r="I7" s="1" t="s">
        <v>14</v>
      </c>
      <c r="J7" s="1" t="s">
        <v>15</v>
      </c>
      <c r="K7" s="1" t="s">
        <v>16</v>
      </c>
    </row>
    <row r="8" spans="1:11" x14ac:dyDescent="0.25">
      <c r="A8" s="1" t="s">
        <v>35</v>
      </c>
      <c r="B8" s="1" t="s">
        <v>36</v>
      </c>
      <c r="C8" s="1" t="s">
        <v>37</v>
      </c>
      <c r="D8" s="1" t="s">
        <v>26</v>
      </c>
      <c r="E8" s="1" t="s">
        <v>13</v>
      </c>
      <c r="F8" s="2">
        <v>46239</v>
      </c>
      <c r="G8" s="2">
        <v>46259</v>
      </c>
      <c r="H8" s="2">
        <v>46254</v>
      </c>
      <c r="I8" s="1" t="s">
        <v>14</v>
      </c>
      <c r="J8" s="1" t="s">
        <v>27</v>
      </c>
      <c r="K8" s="1" t="s">
        <v>16</v>
      </c>
    </row>
    <row r="9" spans="1:11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13</v>
      </c>
      <c r="F9" s="2">
        <v>46240</v>
      </c>
      <c r="G9" s="2">
        <v>46247</v>
      </c>
      <c r="H9" s="2">
        <v>46245</v>
      </c>
      <c r="I9" s="1" t="s">
        <v>14</v>
      </c>
      <c r="J9" s="1" t="s">
        <v>21</v>
      </c>
      <c r="K9" s="1" t="s">
        <v>42</v>
      </c>
    </row>
    <row r="10" spans="1:11" x14ac:dyDescent="0.25">
      <c r="A10" s="1" t="s">
        <v>43</v>
      </c>
      <c r="B10" s="1" t="s">
        <v>44</v>
      </c>
      <c r="C10" s="1" t="s">
        <v>45</v>
      </c>
      <c r="D10" s="1" t="s">
        <v>41</v>
      </c>
      <c r="E10" s="1" t="s">
        <v>13</v>
      </c>
      <c r="F10" s="2">
        <v>46241</v>
      </c>
      <c r="G10" s="2">
        <v>46251</v>
      </c>
      <c r="H10" s="2">
        <v>46250</v>
      </c>
      <c r="I10" s="1" t="s">
        <v>14</v>
      </c>
      <c r="J10" s="1" t="s">
        <v>15</v>
      </c>
      <c r="K10" s="1" t="s">
        <v>42</v>
      </c>
    </row>
    <row r="11" spans="1:11" x14ac:dyDescent="0.25">
      <c r="A11" s="1" t="s">
        <v>46</v>
      </c>
      <c r="B11" s="1" t="s">
        <v>24</v>
      </c>
      <c r="C11" s="1" t="s">
        <v>25</v>
      </c>
      <c r="D11" s="1" t="s">
        <v>26</v>
      </c>
      <c r="E11" s="1" t="s">
        <v>13</v>
      </c>
      <c r="F11" s="2">
        <v>46242</v>
      </c>
      <c r="G11" s="2">
        <v>46249</v>
      </c>
      <c r="H11" s="2">
        <v>46246</v>
      </c>
      <c r="I11" s="1" t="s">
        <v>14</v>
      </c>
      <c r="J11" s="1" t="s">
        <v>27</v>
      </c>
      <c r="K11" s="1" t="s">
        <v>22</v>
      </c>
    </row>
    <row r="12" spans="1:11" x14ac:dyDescent="0.25">
      <c r="A12" s="1" t="s">
        <v>47</v>
      </c>
      <c r="B12" s="1" t="s">
        <v>48</v>
      </c>
      <c r="C12" s="1" t="s">
        <v>49</v>
      </c>
      <c r="D12" s="1" t="s">
        <v>41</v>
      </c>
      <c r="E12" s="1" t="s">
        <v>13</v>
      </c>
      <c r="F12" s="2">
        <v>46242</v>
      </c>
      <c r="G12" s="2">
        <v>46249</v>
      </c>
      <c r="H12" s="2">
        <v>46255</v>
      </c>
      <c r="I12" s="1" t="s">
        <v>14</v>
      </c>
      <c r="J12" s="1" t="s">
        <v>27</v>
      </c>
      <c r="K12" s="1" t="s">
        <v>22</v>
      </c>
    </row>
    <row r="13" spans="1:11" x14ac:dyDescent="0.25">
      <c r="A13" s="1" t="s">
        <v>50</v>
      </c>
      <c r="B13" s="1" t="s">
        <v>51</v>
      </c>
      <c r="C13" s="1" t="s">
        <v>52</v>
      </c>
      <c r="D13" s="1" t="s">
        <v>20</v>
      </c>
      <c r="E13" s="1" t="s">
        <v>13</v>
      </c>
      <c r="F13" s="2">
        <v>46244</v>
      </c>
      <c r="G13" s="2">
        <v>46254</v>
      </c>
      <c r="H13" s="2">
        <v>46252</v>
      </c>
      <c r="I13" s="1" t="s">
        <v>14</v>
      </c>
      <c r="J13" s="1" t="s">
        <v>53</v>
      </c>
      <c r="K13" s="1" t="s">
        <v>22</v>
      </c>
    </row>
    <row r="14" spans="1:11" x14ac:dyDescent="0.25">
      <c r="A14" s="1" t="s">
        <v>54</v>
      </c>
      <c r="B14" s="1" t="s">
        <v>55</v>
      </c>
      <c r="C14" s="1" t="s">
        <v>56</v>
      </c>
      <c r="D14" s="1" t="s">
        <v>12</v>
      </c>
      <c r="E14" s="1" t="s">
        <v>13</v>
      </c>
      <c r="F14" s="2">
        <v>46245</v>
      </c>
      <c r="G14" s="2">
        <v>46265</v>
      </c>
      <c r="H14" s="2">
        <v>46261</v>
      </c>
      <c r="I14" s="1" t="s">
        <v>14</v>
      </c>
      <c r="J14" s="1" t="s">
        <v>57</v>
      </c>
      <c r="K14" s="1" t="s">
        <v>42</v>
      </c>
    </row>
    <row r="15" spans="1:11" x14ac:dyDescent="0.25">
      <c r="A15" s="1" t="s">
        <v>58</v>
      </c>
      <c r="B15" s="1" t="s">
        <v>24</v>
      </c>
      <c r="C15" s="1" t="s">
        <v>25</v>
      </c>
      <c r="D15" s="1" t="s">
        <v>26</v>
      </c>
      <c r="E15" s="1" t="s">
        <v>13</v>
      </c>
      <c r="F15" s="2">
        <v>46246</v>
      </c>
      <c r="G15" s="2">
        <v>46266</v>
      </c>
      <c r="H15" s="2">
        <v>46262</v>
      </c>
      <c r="I15" s="1" t="s">
        <v>14</v>
      </c>
      <c r="J15" s="1" t="s">
        <v>59</v>
      </c>
      <c r="K15" s="1" t="s">
        <v>22</v>
      </c>
    </row>
    <row r="16" spans="1:11" x14ac:dyDescent="0.25">
      <c r="A16" s="1" t="s">
        <v>60</v>
      </c>
      <c r="B16" s="1" t="s">
        <v>61</v>
      </c>
      <c r="C16" s="1" t="s">
        <v>62</v>
      </c>
      <c r="D16" s="1" t="s">
        <v>12</v>
      </c>
      <c r="E16" s="1" t="s">
        <v>13</v>
      </c>
      <c r="F16" s="2">
        <v>46249</v>
      </c>
      <c r="G16" s="2">
        <v>46256</v>
      </c>
      <c r="H16" s="2">
        <v>46253</v>
      </c>
      <c r="I16" s="1" t="s">
        <v>14</v>
      </c>
      <c r="J16" s="1" t="s">
        <v>15</v>
      </c>
      <c r="K16" s="1" t="s">
        <v>16</v>
      </c>
    </row>
    <row r="17" spans="1:11" x14ac:dyDescent="0.25">
      <c r="A17" s="1" t="s">
        <v>63</v>
      </c>
      <c r="B17" s="1" t="s">
        <v>64</v>
      </c>
      <c r="C17" s="1" t="s">
        <v>65</v>
      </c>
      <c r="D17" s="1" t="s">
        <v>20</v>
      </c>
      <c r="E17" s="1" t="s">
        <v>13</v>
      </c>
      <c r="F17" s="2">
        <v>46250</v>
      </c>
      <c r="G17" s="2">
        <v>46280</v>
      </c>
      <c r="H17" s="2">
        <v>46280</v>
      </c>
      <c r="I17" s="1" t="s">
        <v>14</v>
      </c>
      <c r="J17" s="1" t="s">
        <v>15</v>
      </c>
      <c r="K17" s="1" t="s">
        <v>22</v>
      </c>
    </row>
    <row r="18" spans="1:11" x14ac:dyDescent="0.25">
      <c r="A18" s="1" t="s">
        <v>66</v>
      </c>
      <c r="B18" s="1" t="s">
        <v>33</v>
      </c>
      <c r="C18" s="1" t="s">
        <v>34</v>
      </c>
      <c r="D18" s="1" t="s">
        <v>12</v>
      </c>
      <c r="E18" s="1" t="s">
        <v>13</v>
      </c>
      <c r="F18" s="2">
        <v>46251</v>
      </c>
      <c r="G18" s="2">
        <v>46266</v>
      </c>
      <c r="H18" s="2">
        <v>46263</v>
      </c>
      <c r="I18" s="1" t="s">
        <v>14</v>
      </c>
      <c r="J18" s="1" t="s">
        <v>15</v>
      </c>
      <c r="K18" s="1" t="s">
        <v>42</v>
      </c>
    </row>
    <row r="19" spans="1:11" x14ac:dyDescent="0.25">
      <c r="A19" s="1" t="s">
        <v>67</v>
      </c>
      <c r="B19" s="1" t="s">
        <v>68</v>
      </c>
      <c r="C19" s="1" t="s">
        <v>69</v>
      </c>
      <c r="D19" s="1" t="s">
        <v>41</v>
      </c>
      <c r="E19" s="1" t="s">
        <v>13</v>
      </c>
      <c r="F19" s="2">
        <v>46252</v>
      </c>
      <c r="G19" s="2">
        <v>46262</v>
      </c>
      <c r="H19" s="2">
        <v>46262</v>
      </c>
      <c r="I19" s="1" t="s">
        <v>14</v>
      </c>
      <c r="J19" s="1" t="s">
        <v>59</v>
      </c>
      <c r="K19" s="1" t="s">
        <v>42</v>
      </c>
    </row>
    <row r="20" spans="1:11" x14ac:dyDescent="0.25">
      <c r="A20" s="1" t="s">
        <v>70</v>
      </c>
      <c r="B20" s="1" t="s">
        <v>71</v>
      </c>
      <c r="C20" s="1" t="s">
        <v>72</v>
      </c>
      <c r="D20" s="1" t="s">
        <v>20</v>
      </c>
      <c r="E20" s="1" t="s">
        <v>13</v>
      </c>
      <c r="F20" s="2">
        <v>46253</v>
      </c>
      <c r="G20" s="2">
        <v>46273</v>
      </c>
      <c r="H20" s="2">
        <v>46281</v>
      </c>
      <c r="I20" s="1" t="s">
        <v>14</v>
      </c>
      <c r="J20" s="1" t="s">
        <v>21</v>
      </c>
      <c r="K20" s="1" t="s">
        <v>16</v>
      </c>
    </row>
    <row r="21" spans="1:11" x14ac:dyDescent="0.25">
      <c r="A21" s="1" t="s">
        <v>73</v>
      </c>
      <c r="B21" s="1" t="s">
        <v>61</v>
      </c>
      <c r="C21" s="1" t="s">
        <v>62</v>
      </c>
      <c r="D21" s="1" t="s">
        <v>12</v>
      </c>
      <c r="E21" s="1" t="s">
        <v>13</v>
      </c>
      <c r="F21" s="2">
        <v>46253</v>
      </c>
      <c r="G21" s="2">
        <v>46260</v>
      </c>
      <c r="H21" s="2">
        <v>46257</v>
      </c>
      <c r="I21" s="1" t="s">
        <v>14</v>
      </c>
      <c r="J21" s="1" t="s">
        <v>53</v>
      </c>
      <c r="K21" s="1" t="s">
        <v>42</v>
      </c>
    </row>
    <row r="22" spans="1:11" x14ac:dyDescent="0.25">
      <c r="A22" s="1" t="s">
        <v>74</v>
      </c>
      <c r="B22" s="1" t="s">
        <v>10</v>
      </c>
      <c r="C22" s="1" t="s">
        <v>11</v>
      </c>
      <c r="D22" s="1" t="s">
        <v>12</v>
      </c>
      <c r="E22" s="1" t="s">
        <v>13</v>
      </c>
      <c r="F22" s="2">
        <v>46254</v>
      </c>
      <c r="G22" s="2">
        <v>46261</v>
      </c>
      <c r="H22" s="2">
        <v>46270</v>
      </c>
      <c r="I22" s="1" t="s">
        <v>14</v>
      </c>
      <c r="J22" s="1" t="s">
        <v>59</v>
      </c>
      <c r="K22" s="1" t="s">
        <v>22</v>
      </c>
    </row>
    <row r="23" spans="1:11" x14ac:dyDescent="0.25">
      <c r="A23" s="1" t="s">
        <v>75</v>
      </c>
      <c r="B23" s="1" t="s">
        <v>18</v>
      </c>
      <c r="C23" s="1" t="s">
        <v>19</v>
      </c>
      <c r="D23" s="1" t="s">
        <v>20</v>
      </c>
      <c r="E23" s="1" t="s">
        <v>13</v>
      </c>
      <c r="F23" s="2">
        <v>46254</v>
      </c>
      <c r="G23" s="2">
        <v>46274</v>
      </c>
      <c r="H23" s="2"/>
      <c r="I23" s="1" t="s">
        <v>76</v>
      </c>
      <c r="J23" s="1" t="s">
        <v>27</v>
      </c>
      <c r="K23" s="1" t="s">
        <v>42</v>
      </c>
    </row>
    <row r="24" spans="1:11" x14ac:dyDescent="0.25">
      <c r="A24" s="1" t="s">
        <v>77</v>
      </c>
      <c r="B24" s="1" t="s">
        <v>71</v>
      </c>
      <c r="C24" s="1" t="s">
        <v>72</v>
      </c>
      <c r="D24" s="1" t="s">
        <v>20</v>
      </c>
      <c r="E24" s="1" t="s">
        <v>13</v>
      </c>
      <c r="F24" s="2">
        <v>46256</v>
      </c>
      <c r="G24" s="2">
        <v>46276</v>
      </c>
      <c r="H24" s="2">
        <v>46275</v>
      </c>
      <c r="I24" s="1" t="s">
        <v>14</v>
      </c>
      <c r="J24" s="1" t="s">
        <v>21</v>
      </c>
      <c r="K24" s="1" t="s">
        <v>42</v>
      </c>
    </row>
    <row r="25" spans="1:11" x14ac:dyDescent="0.25">
      <c r="A25" s="1" t="s">
        <v>78</v>
      </c>
      <c r="B25" s="1" t="s">
        <v>10</v>
      </c>
      <c r="C25" s="1" t="s">
        <v>11</v>
      </c>
      <c r="D25" s="1" t="s">
        <v>12</v>
      </c>
      <c r="E25" s="1" t="s">
        <v>13</v>
      </c>
      <c r="F25" s="2">
        <v>46256</v>
      </c>
      <c r="G25" s="2">
        <v>46276</v>
      </c>
      <c r="H25" s="2">
        <v>46265</v>
      </c>
      <c r="I25" s="1" t="s">
        <v>14</v>
      </c>
      <c r="J25" s="1" t="s">
        <v>53</v>
      </c>
      <c r="K25" s="1" t="s">
        <v>42</v>
      </c>
    </row>
    <row r="26" spans="1:11" x14ac:dyDescent="0.25">
      <c r="A26" s="1" t="s">
        <v>79</v>
      </c>
      <c r="B26" s="1" t="s">
        <v>80</v>
      </c>
      <c r="C26" s="1" t="s">
        <v>81</v>
      </c>
      <c r="D26" s="1" t="s">
        <v>20</v>
      </c>
      <c r="E26" s="1" t="s">
        <v>13</v>
      </c>
      <c r="F26" s="2">
        <v>46257</v>
      </c>
      <c r="G26" s="2">
        <v>46267</v>
      </c>
      <c r="H26" s="2">
        <v>46263</v>
      </c>
      <c r="I26" s="1" t="s">
        <v>14</v>
      </c>
      <c r="J26" s="1" t="s">
        <v>53</v>
      </c>
      <c r="K26" s="1" t="s">
        <v>42</v>
      </c>
    </row>
    <row r="27" spans="1:11" x14ac:dyDescent="0.25">
      <c r="A27" s="1" t="s">
        <v>82</v>
      </c>
      <c r="B27" s="1" t="s">
        <v>64</v>
      </c>
      <c r="C27" s="1" t="s">
        <v>65</v>
      </c>
      <c r="D27" s="1" t="s">
        <v>20</v>
      </c>
      <c r="E27" s="1" t="s">
        <v>13</v>
      </c>
      <c r="F27" s="2">
        <v>46258</v>
      </c>
      <c r="G27" s="2">
        <v>46278</v>
      </c>
      <c r="H27" s="2">
        <v>46259</v>
      </c>
      <c r="I27" s="1" t="s">
        <v>14</v>
      </c>
      <c r="J27" s="1" t="s">
        <v>15</v>
      </c>
      <c r="K27" s="1" t="s">
        <v>22</v>
      </c>
    </row>
    <row r="28" spans="1:11" x14ac:dyDescent="0.25">
      <c r="A28" s="1" t="s">
        <v>83</v>
      </c>
      <c r="B28" s="1" t="s">
        <v>33</v>
      </c>
      <c r="C28" s="1" t="s">
        <v>34</v>
      </c>
      <c r="D28" s="1" t="s">
        <v>12</v>
      </c>
      <c r="E28" s="1" t="s">
        <v>13</v>
      </c>
      <c r="F28" s="2">
        <v>46258</v>
      </c>
      <c r="G28" s="2">
        <v>46288</v>
      </c>
      <c r="H28" s="2">
        <v>46288</v>
      </c>
      <c r="I28" s="1" t="s">
        <v>14</v>
      </c>
      <c r="J28" s="1" t="s">
        <v>59</v>
      </c>
      <c r="K28" s="1" t="s">
        <v>22</v>
      </c>
    </row>
    <row r="29" spans="1:11" x14ac:dyDescent="0.25">
      <c r="A29" s="1" t="s">
        <v>84</v>
      </c>
      <c r="B29" s="1" t="s">
        <v>18</v>
      </c>
      <c r="C29" s="1" t="s">
        <v>19</v>
      </c>
      <c r="D29" s="1" t="s">
        <v>20</v>
      </c>
      <c r="E29" s="1" t="s">
        <v>13</v>
      </c>
      <c r="F29" s="2">
        <v>46262</v>
      </c>
      <c r="G29" s="2">
        <v>46282</v>
      </c>
      <c r="H29" s="2"/>
      <c r="I29" s="1" t="s">
        <v>76</v>
      </c>
      <c r="J29" s="1" t="s">
        <v>27</v>
      </c>
      <c r="K29" s="1" t="s">
        <v>22</v>
      </c>
    </row>
    <row r="30" spans="1:11" x14ac:dyDescent="0.25">
      <c r="A30" s="1" t="s">
        <v>85</v>
      </c>
      <c r="B30" s="1" t="s">
        <v>48</v>
      </c>
      <c r="C30" s="1" t="s">
        <v>49</v>
      </c>
      <c r="D30" s="1" t="s">
        <v>41</v>
      </c>
      <c r="E30" s="1" t="s">
        <v>13</v>
      </c>
      <c r="F30" s="2">
        <v>46262</v>
      </c>
      <c r="G30" s="2">
        <v>46269</v>
      </c>
      <c r="H30" s="2">
        <v>46263</v>
      </c>
      <c r="I30" s="1" t="s">
        <v>14</v>
      </c>
      <c r="J30" s="1" t="s">
        <v>27</v>
      </c>
      <c r="K30" s="1" t="s">
        <v>42</v>
      </c>
    </row>
    <row r="31" spans="1:11" x14ac:dyDescent="0.25">
      <c r="A31" s="1" t="s">
        <v>86</v>
      </c>
      <c r="B31" s="1" t="s">
        <v>64</v>
      </c>
      <c r="C31" s="1" t="s">
        <v>65</v>
      </c>
      <c r="D31" s="1" t="s">
        <v>20</v>
      </c>
      <c r="E31" s="1" t="s">
        <v>13</v>
      </c>
      <c r="F31" s="2">
        <v>46264</v>
      </c>
      <c r="G31" s="2">
        <v>46271</v>
      </c>
      <c r="H31" s="2"/>
      <c r="I31" s="1" t="s">
        <v>76</v>
      </c>
      <c r="J31" s="1" t="s">
        <v>27</v>
      </c>
      <c r="K31" s="1" t="s">
        <v>22</v>
      </c>
    </row>
    <row r="32" spans="1:11" x14ac:dyDescent="0.25">
      <c r="A32" s="1" t="s">
        <v>87</v>
      </c>
      <c r="B32" s="1" t="s">
        <v>44</v>
      </c>
      <c r="C32" s="1" t="s">
        <v>45</v>
      </c>
      <c r="D32" s="1" t="s">
        <v>41</v>
      </c>
      <c r="E32" s="1" t="s">
        <v>13</v>
      </c>
      <c r="F32" s="2">
        <v>46264</v>
      </c>
      <c r="G32" s="2">
        <v>46284</v>
      </c>
      <c r="H32" s="2">
        <v>46279</v>
      </c>
      <c r="I32" s="1" t="s">
        <v>14</v>
      </c>
      <c r="J32" s="1" t="s">
        <v>27</v>
      </c>
      <c r="K32" s="1" t="s">
        <v>22</v>
      </c>
    </row>
    <row r="33" spans="1:11" x14ac:dyDescent="0.25">
      <c r="A33" s="1" t="s">
        <v>88</v>
      </c>
      <c r="B33" s="1" t="s">
        <v>71</v>
      </c>
      <c r="C33" s="1" t="s">
        <v>72</v>
      </c>
      <c r="D33" s="1" t="s">
        <v>20</v>
      </c>
      <c r="E33" s="1" t="s">
        <v>13</v>
      </c>
      <c r="F33" s="2">
        <v>46265</v>
      </c>
      <c r="G33" s="2">
        <v>46272</v>
      </c>
      <c r="H33" s="2"/>
      <c r="I33" s="1" t="s">
        <v>76</v>
      </c>
      <c r="J33" s="1" t="s">
        <v>57</v>
      </c>
      <c r="K33" s="1" t="s">
        <v>22</v>
      </c>
    </row>
    <row r="34" spans="1:11" x14ac:dyDescent="0.25">
      <c r="A34" s="1" t="s">
        <v>89</v>
      </c>
      <c r="B34" s="1" t="s">
        <v>30</v>
      </c>
      <c r="C34" s="1" t="s">
        <v>31</v>
      </c>
      <c r="D34" s="1" t="s">
        <v>12</v>
      </c>
      <c r="E34" s="1" t="s">
        <v>13</v>
      </c>
      <c r="F34" s="2">
        <v>46265</v>
      </c>
      <c r="G34" s="2">
        <v>46275</v>
      </c>
      <c r="H34" s="2">
        <v>46277</v>
      </c>
      <c r="I34" s="1" t="s">
        <v>14</v>
      </c>
      <c r="J34" s="1" t="s">
        <v>27</v>
      </c>
      <c r="K34" s="1" t="s">
        <v>42</v>
      </c>
    </row>
    <row r="35" spans="1:11" x14ac:dyDescent="0.25">
      <c r="A35" s="1" t="s">
        <v>90</v>
      </c>
      <c r="B35" s="1" t="s">
        <v>64</v>
      </c>
      <c r="C35" s="1" t="s">
        <v>65</v>
      </c>
      <c r="D35" s="1" t="s">
        <v>20</v>
      </c>
      <c r="E35" s="1" t="s">
        <v>13</v>
      </c>
      <c r="F35" s="2">
        <v>46266</v>
      </c>
      <c r="G35" s="2">
        <v>46276</v>
      </c>
      <c r="H35" s="2"/>
      <c r="I35" s="1" t="s">
        <v>91</v>
      </c>
      <c r="J35" s="1" t="s">
        <v>53</v>
      </c>
      <c r="K35" s="1" t="s">
        <v>22</v>
      </c>
    </row>
    <row r="36" spans="1:11" x14ac:dyDescent="0.25">
      <c r="A36" s="1" t="s">
        <v>92</v>
      </c>
      <c r="B36" s="1" t="s">
        <v>64</v>
      </c>
      <c r="C36" s="1" t="s">
        <v>65</v>
      </c>
      <c r="D36" s="1" t="s">
        <v>20</v>
      </c>
      <c r="E36" s="1" t="s">
        <v>13</v>
      </c>
      <c r="F36" s="2">
        <v>46266</v>
      </c>
      <c r="G36" s="2">
        <v>46276</v>
      </c>
      <c r="H36" s="2"/>
      <c r="I36" s="1" t="s">
        <v>91</v>
      </c>
      <c r="J36" s="1" t="s">
        <v>21</v>
      </c>
      <c r="K36" s="1" t="s">
        <v>16</v>
      </c>
    </row>
    <row r="37" spans="1:11" x14ac:dyDescent="0.25">
      <c r="A37" s="1" t="s">
        <v>93</v>
      </c>
      <c r="B37" s="1" t="s">
        <v>24</v>
      </c>
      <c r="C37" s="1" t="s">
        <v>25</v>
      </c>
      <c r="D37" s="1" t="s">
        <v>26</v>
      </c>
      <c r="E37" s="1" t="s">
        <v>13</v>
      </c>
      <c r="F37" s="2">
        <v>46267</v>
      </c>
      <c r="G37" s="2">
        <v>46282</v>
      </c>
      <c r="H37" s="2">
        <v>46277</v>
      </c>
      <c r="I37" s="1" t="s">
        <v>14</v>
      </c>
      <c r="J37" s="1" t="s">
        <v>15</v>
      </c>
      <c r="K37" s="1" t="s">
        <v>16</v>
      </c>
    </row>
    <row r="38" spans="1:11" x14ac:dyDescent="0.25">
      <c r="A38" s="1" t="s">
        <v>94</v>
      </c>
      <c r="B38" s="1" t="s">
        <v>61</v>
      </c>
      <c r="C38" s="1" t="s">
        <v>62</v>
      </c>
      <c r="D38" s="1" t="s">
        <v>12</v>
      </c>
      <c r="E38" s="1" t="s">
        <v>13</v>
      </c>
      <c r="F38" s="2">
        <v>46267</v>
      </c>
      <c r="G38" s="2">
        <v>46287</v>
      </c>
      <c r="H38" s="2"/>
      <c r="I38" s="1" t="s">
        <v>91</v>
      </c>
      <c r="J38" s="1" t="s">
        <v>27</v>
      </c>
      <c r="K38" s="1" t="s">
        <v>16</v>
      </c>
    </row>
    <row r="39" spans="1:11" x14ac:dyDescent="0.25">
      <c r="A39" s="1" t="s">
        <v>95</v>
      </c>
      <c r="B39" s="1" t="s">
        <v>18</v>
      </c>
      <c r="C39" s="1" t="s">
        <v>19</v>
      </c>
      <c r="D39" s="1" t="s">
        <v>20</v>
      </c>
      <c r="E39" s="1" t="s">
        <v>13</v>
      </c>
      <c r="F39" s="2">
        <v>46268</v>
      </c>
      <c r="G39" s="2">
        <v>46288</v>
      </c>
      <c r="H39" s="2">
        <v>46371</v>
      </c>
      <c r="I39" s="1" t="s">
        <v>14</v>
      </c>
      <c r="J39" s="1" t="s">
        <v>57</v>
      </c>
      <c r="K39" s="1" t="s">
        <v>22</v>
      </c>
    </row>
    <row r="40" spans="1:11" x14ac:dyDescent="0.25">
      <c r="A40" s="1" t="s">
        <v>96</v>
      </c>
      <c r="B40" s="1" t="s">
        <v>10</v>
      </c>
      <c r="C40" s="1" t="s">
        <v>11</v>
      </c>
      <c r="D40" s="1" t="s">
        <v>12</v>
      </c>
      <c r="E40" s="1" t="s">
        <v>13</v>
      </c>
      <c r="F40" s="2">
        <v>46273</v>
      </c>
      <c r="G40" s="2">
        <v>46283</v>
      </c>
      <c r="H40" s="2">
        <v>46330</v>
      </c>
      <c r="I40" s="1" t="s">
        <v>14</v>
      </c>
      <c r="J40" s="1" t="s">
        <v>59</v>
      </c>
      <c r="K40" s="1" t="s">
        <v>16</v>
      </c>
    </row>
    <row r="41" spans="1:11" x14ac:dyDescent="0.25">
      <c r="A41" s="1" t="s">
        <v>97</v>
      </c>
      <c r="B41" s="1" t="s">
        <v>64</v>
      </c>
      <c r="C41" s="1" t="s">
        <v>65</v>
      </c>
      <c r="D41" s="1" t="s">
        <v>20</v>
      </c>
      <c r="E41" s="1" t="s">
        <v>13</v>
      </c>
      <c r="F41" s="2">
        <v>46273</v>
      </c>
      <c r="G41" s="2">
        <v>46303</v>
      </c>
      <c r="H41" s="2"/>
      <c r="I41" s="1" t="s">
        <v>91</v>
      </c>
      <c r="J41" s="1" t="s">
        <v>27</v>
      </c>
      <c r="K41" s="1" t="s">
        <v>42</v>
      </c>
    </row>
    <row r="42" spans="1:11" x14ac:dyDescent="0.25">
      <c r="A42" s="1" t="s">
        <v>98</v>
      </c>
      <c r="B42" s="1" t="s">
        <v>99</v>
      </c>
      <c r="C42" s="1" t="s">
        <v>100</v>
      </c>
      <c r="D42" s="1" t="s">
        <v>26</v>
      </c>
      <c r="E42" s="1" t="s">
        <v>13</v>
      </c>
      <c r="F42" s="2">
        <v>46273</v>
      </c>
      <c r="G42" s="2">
        <v>46283</v>
      </c>
      <c r="H42" s="2">
        <v>46282</v>
      </c>
      <c r="I42" s="1" t="s">
        <v>14</v>
      </c>
      <c r="J42" s="1" t="s">
        <v>21</v>
      </c>
      <c r="K42" s="1" t="s">
        <v>42</v>
      </c>
    </row>
    <row r="43" spans="1:11" x14ac:dyDescent="0.25">
      <c r="A43" s="1" t="s">
        <v>101</v>
      </c>
      <c r="B43" s="1" t="s">
        <v>33</v>
      </c>
      <c r="C43" s="1" t="s">
        <v>34</v>
      </c>
      <c r="D43" s="1" t="s">
        <v>12</v>
      </c>
      <c r="E43" s="1" t="s">
        <v>13</v>
      </c>
      <c r="F43" s="2">
        <v>46273</v>
      </c>
      <c r="G43" s="2">
        <v>46283</v>
      </c>
      <c r="H43" s="2">
        <v>46286</v>
      </c>
      <c r="I43" s="1" t="s">
        <v>14</v>
      </c>
      <c r="J43" s="1" t="s">
        <v>57</v>
      </c>
      <c r="K43" s="1" t="s">
        <v>22</v>
      </c>
    </row>
    <row r="44" spans="1:11" x14ac:dyDescent="0.25">
      <c r="A44" s="1" t="s">
        <v>102</v>
      </c>
      <c r="B44" s="1" t="s">
        <v>36</v>
      </c>
      <c r="C44" s="1" t="s">
        <v>37</v>
      </c>
      <c r="D44" s="1" t="s">
        <v>26</v>
      </c>
      <c r="E44" s="1" t="s">
        <v>13</v>
      </c>
      <c r="F44" s="2">
        <v>46274</v>
      </c>
      <c r="G44" s="2">
        <v>46281</v>
      </c>
      <c r="H44" s="2"/>
      <c r="I44" s="1" t="s">
        <v>91</v>
      </c>
      <c r="J44" s="1" t="s">
        <v>21</v>
      </c>
      <c r="K44" s="1" t="s">
        <v>22</v>
      </c>
    </row>
    <row r="45" spans="1:11" x14ac:dyDescent="0.25">
      <c r="A45" s="1" t="s">
        <v>103</v>
      </c>
      <c r="B45" s="1" t="s">
        <v>71</v>
      </c>
      <c r="C45" s="1" t="s">
        <v>72</v>
      </c>
      <c r="D45" s="1" t="s">
        <v>20</v>
      </c>
      <c r="E45" s="1" t="s">
        <v>13</v>
      </c>
      <c r="F45" s="2">
        <v>46274</v>
      </c>
      <c r="G45" s="2">
        <v>46304</v>
      </c>
      <c r="H45" s="2"/>
      <c r="I45" s="1" t="s">
        <v>91</v>
      </c>
      <c r="J45" s="1" t="s">
        <v>59</v>
      </c>
      <c r="K45" s="1" t="s">
        <v>42</v>
      </c>
    </row>
    <row r="46" spans="1:11" x14ac:dyDescent="0.25">
      <c r="A46" s="1" t="s">
        <v>104</v>
      </c>
      <c r="B46" s="1" t="s">
        <v>61</v>
      </c>
      <c r="C46" s="1" t="s">
        <v>62</v>
      </c>
      <c r="D46" s="1" t="s">
        <v>12</v>
      </c>
      <c r="E46" s="1" t="s">
        <v>13</v>
      </c>
      <c r="F46" s="2">
        <v>46274</v>
      </c>
      <c r="G46" s="2">
        <v>46304</v>
      </c>
      <c r="H46" s="2"/>
      <c r="I46" s="1" t="s">
        <v>91</v>
      </c>
      <c r="J46" s="1" t="s">
        <v>59</v>
      </c>
      <c r="K46" s="1" t="s">
        <v>22</v>
      </c>
    </row>
    <row r="47" spans="1:11" x14ac:dyDescent="0.25">
      <c r="A47" s="1" t="s">
        <v>105</v>
      </c>
      <c r="B47" s="1" t="s">
        <v>68</v>
      </c>
      <c r="C47" s="1" t="s">
        <v>69</v>
      </c>
      <c r="D47" s="1" t="s">
        <v>41</v>
      </c>
      <c r="E47" s="1" t="s">
        <v>13</v>
      </c>
      <c r="F47" s="2">
        <v>46274</v>
      </c>
      <c r="G47" s="2">
        <v>46304</v>
      </c>
      <c r="H47" s="2"/>
      <c r="I47" s="1" t="s">
        <v>91</v>
      </c>
      <c r="J47" s="1" t="s">
        <v>53</v>
      </c>
      <c r="K47" s="1" t="s">
        <v>42</v>
      </c>
    </row>
    <row r="48" spans="1:11" x14ac:dyDescent="0.25">
      <c r="A48" s="1" t="s">
        <v>106</v>
      </c>
      <c r="B48" s="1" t="s">
        <v>107</v>
      </c>
      <c r="C48" s="1" t="s">
        <v>108</v>
      </c>
      <c r="D48" s="1" t="s">
        <v>26</v>
      </c>
      <c r="E48" s="1" t="s">
        <v>13</v>
      </c>
      <c r="F48" s="2">
        <v>46274</v>
      </c>
      <c r="G48" s="2">
        <v>46304</v>
      </c>
      <c r="H48" s="2"/>
      <c r="I48" s="1" t="s">
        <v>76</v>
      </c>
      <c r="J48" s="1" t="s">
        <v>59</v>
      </c>
      <c r="K48" s="1" t="s">
        <v>22</v>
      </c>
    </row>
    <row r="49" spans="1:11" x14ac:dyDescent="0.25">
      <c r="A49" s="1" t="s">
        <v>109</v>
      </c>
      <c r="B49" s="1" t="s">
        <v>10</v>
      </c>
      <c r="C49" s="1" t="s">
        <v>11</v>
      </c>
      <c r="D49" s="1" t="s">
        <v>12</v>
      </c>
      <c r="E49" s="1" t="s">
        <v>13</v>
      </c>
      <c r="F49" s="2">
        <v>46277</v>
      </c>
      <c r="G49" s="2">
        <v>46297</v>
      </c>
      <c r="H49" s="2"/>
      <c r="I49" s="1" t="s">
        <v>76</v>
      </c>
      <c r="J49" s="1" t="s">
        <v>15</v>
      </c>
      <c r="K49" s="1" t="s">
        <v>42</v>
      </c>
    </row>
    <row r="50" spans="1:11" x14ac:dyDescent="0.25">
      <c r="A50" s="1" t="s">
        <v>110</v>
      </c>
      <c r="B50" s="1" t="s">
        <v>10</v>
      </c>
      <c r="C50" s="1" t="s">
        <v>11</v>
      </c>
      <c r="D50" s="1" t="s">
        <v>12</v>
      </c>
      <c r="E50" s="1" t="s">
        <v>13</v>
      </c>
      <c r="F50" s="2">
        <v>46279</v>
      </c>
      <c r="G50" s="2">
        <v>46294</v>
      </c>
      <c r="H50" s="2"/>
      <c r="I50" s="1" t="s">
        <v>76</v>
      </c>
      <c r="J50" s="1" t="s">
        <v>53</v>
      </c>
      <c r="K50" s="1" t="s">
        <v>22</v>
      </c>
    </row>
    <row r="51" spans="1:11" x14ac:dyDescent="0.25">
      <c r="A51" s="1" t="s">
        <v>111</v>
      </c>
      <c r="B51" s="1" t="s">
        <v>39</v>
      </c>
      <c r="C51" s="1" t="s">
        <v>40</v>
      </c>
      <c r="D51" s="1" t="s">
        <v>41</v>
      </c>
      <c r="E51" s="1" t="s">
        <v>13</v>
      </c>
      <c r="F51" s="2">
        <v>46280</v>
      </c>
      <c r="G51" s="2">
        <v>46310</v>
      </c>
      <c r="H51" s="2"/>
      <c r="I51" s="1" t="s">
        <v>91</v>
      </c>
      <c r="J51" s="1" t="s">
        <v>27</v>
      </c>
      <c r="K51" s="1" t="s">
        <v>22</v>
      </c>
    </row>
    <row r="52" spans="1:11" x14ac:dyDescent="0.25">
      <c r="A52" s="1" t="s">
        <v>112</v>
      </c>
      <c r="B52" s="1" t="s">
        <v>107</v>
      </c>
      <c r="C52" s="1" t="s">
        <v>108</v>
      </c>
      <c r="D52" s="1" t="s">
        <v>26</v>
      </c>
      <c r="E52" s="1" t="s">
        <v>13</v>
      </c>
      <c r="F52" s="2">
        <v>46282</v>
      </c>
      <c r="G52" s="2">
        <v>46289</v>
      </c>
      <c r="H52" s="2"/>
      <c r="I52" s="1" t="s">
        <v>91</v>
      </c>
      <c r="J52" s="1" t="s">
        <v>59</v>
      </c>
      <c r="K52" s="1" t="s">
        <v>42</v>
      </c>
    </row>
    <row r="53" spans="1:11" x14ac:dyDescent="0.25">
      <c r="A53" s="1" t="s">
        <v>113</v>
      </c>
      <c r="B53" s="1" t="s">
        <v>36</v>
      </c>
      <c r="C53" s="1" t="s">
        <v>37</v>
      </c>
      <c r="D53" s="1" t="s">
        <v>26</v>
      </c>
      <c r="E53" s="1" t="s">
        <v>13</v>
      </c>
      <c r="F53" s="2">
        <v>46283</v>
      </c>
      <c r="G53" s="2">
        <v>46303</v>
      </c>
      <c r="H53" s="2"/>
      <c r="I53" s="1" t="s">
        <v>76</v>
      </c>
      <c r="J53" s="1" t="s">
        <v>59</v>
      </c>
      <c r="K53" s="1" t="s">
        <v>22</v>
      </c>
    </row>
    <row r="54" spans="1:11" x14ac:dyDescent="0.25">
      <c r="A54" s="1" t="s">
        <v>114</v>
      </c>
      <c r="B54" s="1" t="s">
        <v>115</v>
      </c>
      <c r="C54" s="1" t="s">
        <v>116</v>
      </c>
      <c r="D54" s="1" t="s">
        <v>12</v>
      </c>
      <c r="E54" s="1" t="s">
        <v>13</v>
      </c>
      <c r="F54" s="2">
        <v>46286</v>
      </c>
      <c r="G54" s="2">
        <v>46301</v>
      </c>
      <c r="H54" s="2"/>
      <c r="I54" s="1" t="s">
        <v>76</v>
      </c>
      <c r="J54" s="1" t="s">
        <v>53</v>
      </c>
      <c r="K54" s="1" t="s">
        <v>22</v>
      </c>
    </row>
    <row r="55" spans="1:11" x14ac:dyDescent="0.25">
      <c r="A55" s="1" t="s">
        <v>117</v>
      </c>
      <c r="B55" s="1" t="s">
        <v>33</v>
      </c>
      <c r="C55" s="1" t="s">
        <v>34</v>
      </c>
      <c r="D55" s="1" t="s">
        <v>12</v>
      </c>
      <c r="E55" s="1" t="s">
        <v>13</v>
      </c>
      <c r="F55" s="2">
        <v>46287</v>
      </c>
      <c r="G55" s="2">
        <v>46302</v>
      </c>
      <c r="H55" s="2"/>
      <c r="I55" s="1" t="s">
        <v>76</v>
      </c>
      <c r="J55" s="1" t="s">
        <v>21</v>
      </c>
      <c r="K55" s="1" t="s">
        <v>22</v>
      </c>
    </row>
    <row r="56" spans="1:11" x14ac:dyDescent="0.25">
      <c r="A56" s="1" t="s">
        <v>118</v>
      </c>
      <c r="B56" s="1" t="s">
        <v>33</v>
      </c>
      <c r="C56" s="1" t="s">
        <v>34</v>
      </c>
      <c r="D56" s="1" t="s">
        <v>12</v>
      </c>
      <c r="E56" s="1" t="s">
        <v>13</v>
      </c>
      <c r="F56" s="2">
        <v>46289</v>
      </c>
      <c r="G56" s="2">
        <v>46309</v>
      </c>
      <c r="H56" s="2"/>
      <c r="I56" s="1" t="s">
        <v>91</v>
      </c>
      <c r="J56" s="1" t="s">
        <v>27</v>
      </c>
      <c r="K56" s="1" t="s">
        <v>22</v>
      </c>
    </row>
    <row r="57" spans="1:11" x14ac:dyDescent="0.25">
      <c r="A57" s="1" t="s">
        <v>119</v>
      </c>
      <c r="B57" s="1" t="s">
        <v>55</v>
      </c>
      <c r="C57" s="1" t="s">
        <v>56</v>
      </c>
      <c r="D57" s="1" t="s">
        <v>12</v>
      </c>
      <c r="E57" s="1" t="s">
        <v>13</v>
      </c>
      <c r="F57" s="2">
        <v>46290</v>
      </c>
      <c r="G57" s="2">
        <v>46300</v>
      </c>
      <c r="H57" s="2"/>
      <c r="I57" s="1" t="s">
        <v>91</v>
      </c>
      <c r="J57" s="1" t="s">
        <v>57</v>
      </c>
      <c r="K57" s="1" t="s">
        <v>42</v>
      </c>
    </row>
    <row r="58" spans="1:11" x14ac:dyDescent="0.25">
      <c r="A58" s="1" t="s">
        <v>120</v>
      </c>
      <c r="B58" s="1" t="s">
        <v>10</v>
      </c>
      <c r="C58" s="1" t="s">
        <v>11</v>
      </c>
      <c r="D58" s="1" t="s">
        <v>12</v>
      </c>
      <c r="E58" s="1" t="s">
        <v>13</v>
      </c>
      <c r="F58" s="2">
        <v>46290</v>
      </c>
      <c r="G58" s="2">
        <v>46320</v>
      </c>
      <c r="H58" s="2"/>
      <c r="I58" s="1" t="s">
        <v>91</v>
      </c>
      <c r="J58" s="1" t="s">
        <v>15</v>
      </c>
      <c r="K58" s="1" t="s">
        <v>22</v>
      </c>
    </row>
    <row r="59" spans="1:11" x14ac:dyDescent="0.25">
      <c r="A59" s="1" t="s">
        <v>121</v>
      </c>
      <c r="B59" s="1" t="s">
        <v>10</v>
      </c>
      <c r="C59" s="1" t="s">
        <v>11</v>
      </c>
      <c r="D59" s="1" t="s">
        <v>12</v>
      </c>
      <c r="E59" s="1" t="s">
        <v>13</v>
      </c>
      <c r="F59" s="2">
        <v>46290</v>
      </c>
      <c r="G59" s="2">
        <v>46310</v>
      </c>
      <c r="H59" s="2"/>
      <c r="I59" s="1" t="s">
        <v>91</v>
      </c>
      <c r="J59" s="1" t="s">
        <v>57</v>
      </c>
      <c r="K59" s="1" t="s">
        <v>22</v>
      </c>
    </row>
    <row r="60" spans="1:11" x14ac:dyDescent="0.25">
      <c r="A60" s="1" t="s">
        <v>122</v>
      </c>
      <c r="B60" s="1" t="s">
        <v>33</v>
      </c>
      <c r="C60" s="1" t="s">
        <v>34</v>
      </c>
      <c r="D60" s="1" t="s">
        <v>12</v>
      </c>
      <c r="E60" s="1" t="s">
        <v>13</v>
      </c>
      <c r="F60" s="2">
        <v>46291</v>
      </c>
      <c r="G60" s="2">
        <v>46311</v>
      </c>
      <c r="H60" s="2"/>
      <c r="I60" s="1" t="s">
        <v>76</v>
      </c>
      <c r="J60" s="1" t="s">
        <v>57</v>
      </c>
      <c r="K60" s="1" t="s">
        <v>42</v>
      </c>
    </row>
    <row r="61" spans="1:11" x14ac:dyDescent="0.25">
      <c r="A61" s="1" t="s">
        <v>123</v>
      </c>
      <c r="B61" s="1" t="s">
        <v>107</v>
      </c>
      <c r="C61" s="1" t="s">
        <v>108</v>
      </c>
      <c r="D61" s="1" t="s">
        <v>26</v>
      </c>
      <c r="E61" s="1" t="s">
        <v>13</v>
      </c>
      <c r="F61" s="2">
        <v>46291</v>
      </c>
      <c r="G61" s="2">
        <v>46306</v>
      </c>
      <c r="H61" s="2"/>
      <c r="I61" s="1" t="s">
        <v>76</v>
      </c>
      <c r="J61" s="1" t="s">
        <v>27</v>
      </c>
      <c r="K61" s="1" t="s">
        <v>22</v>
      </c>
    </row>
    <row r="62" spans="1:11" x14ac:dyDescent="0.25">
      <c r="A62" s="1" t="s">
        <v>124</v>
      </c>
      <c r="B62" s="1" t="s">
        <v>68</v>
      </c>
      <c r="C62" s="1" t="s">
        <v>69</v>
      </c>
      <c r="D62" s="1" t="s">
        <v>41</v>
      </c>
      <c r="E62" s="1" t="s">
        <v>13</v>
      </c>
      <c r="F62" s="2">
        <v>46291</v>
      </c>
      <c r="G62" s="2">
        <v>46298</v>
      </c>
      <c r="H62" s="2"/>
      <c r="I62" s="1" t="s">
        <v>76</v>
      </c>
      <c r="J62" s="1" t="s">
        <v>59</v>
      </c>
      <c r="K62" s="1" t="s">
        <v>22</v>
      </c>
    </row>
    <row r="63" spans="1:11" x14ac:dyDescent="0.25">
      <c r="A63" s="1" t="s">
        <v>125</v>
      </c>
      <c r="B63" s="1" t="s">
        <v>18</v>
      </c>
      <c r="C63" s="1" t="s">
        <v>19</v>
      </c>
      <c r="D63" s="1" t="s">
        <v>20</v>
      </c>
      <c r="E63" s="1" t="s">
        <v>13</v>
      </c>
      <c r="F63" s="2">
        <v>46291</v>
      </c>
      <c r="G63" s="2">
        <v>46301</v>
      </c>
      <c r="H63" s="2"/>
      <c r="I63" s="1" t="s">
        <v>91</v>
      </c>
      <c r="J63" s="1" t="s">
        <v>21</v>
      </c>
      <c r="K63" s="1" t="s">
        <v>42</v>
      </c>
    </row>
    <row r="64" spans="1:11" x14ac:dyDescent="0.25">
      <c r="A64" s="1" t="s">
        <v>126</v>
      </c>
      <c r="B64" s="1" t="s">
        <v>99</v>
      </c>
      <c r="C64" s="1" t="s">
        <v>100</v>
      </c>
      <c r="D64" s="1" t="s">
        <v>26</v>
      </c>
      <c r="E64" s="1" t="s">
        <v>13</v>
      </c>
      <c r="F64" s="2">
        <v>46291</v>
      </c>
      <c r="G64" s="2">
        <v>46311</v>
      </c>
      <c r="H64" s="2"/>
      <c r="I64" s="1" t="s">
        <v>91</v>
      </c>
      <c r="J64" s="1" t="s">
        <v>57</v>
      </c>
      <c r="K64" s="1" t="s">
        <v>22</v>
      </c>
    </row>
    <row r="65" spans="1:11" x14ac:dyDescent="0.25">
      <c r="A65" s="1" t="s">
        <v>127</v>
      </c>
      <c r="B65" s="1" t="s">
        <v>107</v>
      </c>
      <c r="C65" s="1" t="s">
        <v>108</v>
      </c>
      <c r="D65" s="1" t="s">
        <v>26</v>
      </c>
      <c r="E65" s="1" t="s">
        <v>13</v>
      </c>
      <c r="F65" s="2">
        <v>46291</v>
      </c>
      <c r="G65" s="2">
        <v>46301</v>
      </c>
      <c r="H65" s="2"/>
      <c r="I65" s="1" t="s">
        <v>91</v>
      </c>
      <c r="J65" s="1" t="s">
        <v>59</v>
      </c>
      <c r="K65" s="1" t="s">
        <v>42</v>
      </c>
    </row>
    <row r="66" spans="1:11" x14ac:dyDescent="0.25">
      <c r="A66" s="1" t="s">
        <v>128</v>
      </c>
      <c r="B66" s="1" t="s">
        <v>44</v>
      </c>
      <c r="C66" s="1" t="s">
        <v>45</v>
      </c>
      <c r="D66" s="1" t="s">
        <v>41</v>
      </c>
      <c r="E66" s="1" t="s">
        <v>13</v>
      </c>
      <c r="F66" s="2">
        <v>46292</v>
      </c>
      <c r="G66" s="2">
        <v>46322</v>
      </c>
      <c r="H66" s="2"/>
      <c r="I66" s="1" t="s">
        <v>76</v>
      </c>
      <c r="J66" s="1" t="s">
        <v>21</v>
      </c>
      <c r="K66" s="1" t="s">
        <v>42</v>
      </c>
    </row>
    <row r="67" spans="1:11" x14ac:dyDescent="0.25">
      <c r="A67" s="1" t="s">
        <v>129</v>
      </c>
      <c r="B67" s="1" t="s">
        <v>48</v>
      </c>
      <c r="C67" s="1" t="s">
        <v>49</v>
      </c>
      <c r="D67" s="1" t="s">
        <v>41</v>
      </c>
      <c r="E67" s="1" t="s">
        <v>13</v>
      </c>
      <c r="F67" s="2">
        <v>46293</v>
      </c>
      <c r="G67" s="2">
        <v>46300</v>
      </c>
      <c r="H67" s="2"/>
      <c r="I67" s="1" t="s">
        <v>91</v>
      </c>
      <c r="J67" s="1" t="s">
        <v>53</v>
      </c>
      <c r="K67" s="1" t="s">
        <v>22</v>
      </c>
    </row>
    <row r="68" spans="1:11" x14ac:dyDescent="0.25">
      <c r="A68" s="1" t="s">
        <v>130</v>
      </c>
      <c r="B68" s="1" t="s">
        <v>44</v>
      </c>
      <c r="C68" s="1" t="s">
        <v>45</v>
      </c>
      <c r="D68" s="1" t="s">
        <v>41</v>
      </c>
      <c r="E68" s="1" t="s">
        <v>13</v>
      </c>
      <c r="F68" s="2">
        <v>46293</v>
      </c>
      <c r="G68" s="2">
        <v>46303</v>
      </c>
      <c r="H68" s="2"/>
      <c r="I68" s="1" t="s">
        <v>91</v>
      </c>
      <c r="J68" s="1" t="s">
        <v>53</v>
      </c>
      <c r="K68" s="1" t="s">
        <v>16</v>
      </c>
    </row>
    <row r="69" spans="1:11" x14ac:dyDescent="0.25">
      <c r="A69" s="1" t="s">
        <v>131</v>
      </c>
      <c r="B69" s="1" t="s">
        <v>61</v>
      </c>
      <c r="C69" s="1" t="s">
        <v>62</v>
      </c>
      <c r="D69" s="1" t="s">
        <v>12</v>
      </c>
      <c r="E69" s="1" t="s">
        <v>13</v>
      </c>
      <c r="F69" s="2">
        <v>46293</v>
      </c>
      <c r="G69" s="2">
        <v>46300</v>
      </c>
      <c r="H69" s="2"/>
      <c r="I69" s="1" t="s">
        <v>76</v>
      </c>
      <c r="J69" s="1" t="s">
        <v>15</v>
      </c>
      <c r="K69" s="1" t="s">
        <v>22</v>
      </c>
    </row>
    <row r="70" spans="1:11" x14ac:dyDescent="0.25">
      <c r="A70" s="1" t="s">
        <v>132</v>
      </c>
      <c r="B70" s="1" t="s">
        <v>107</v>
      </c>
      <c r="C70" s="1" t="s">
        <v>108</v>
      </c>
      <c r="D70" s="1" t="s">
        <v>26</v>
      </c>
      <c r="E70" s="1" t="s">
        <v>13</v>
      </c>
      <c r="F70" s="2">
        <v>46293</v>
      </c>
      <c r="G70" s="2">
        <v>46313</v>
      </c>
      <c r="H70" s="2"/>
      <c r="I70" s="1" t="s">
        <v>91</v>
      </c>
      <c r="J70" s="1" t="s">
        <v>53</v>
      </c>
      <c r="K70" s="1" t="s">
        <v>22</v>
      </c>
    </row>
    <row r="71" spans="1:11" x14ac:dyDescent="0.25">
      <c r="A71" s="1" t="s">
        <v>133</v>
      </c>
      <c r="B71" s="1" t="s">
        <v>80</v>
      </c>
      <c r="C71" s="1" t="s">
        <v>81</v>
      </c>
      <c r="D71" s="1" t="s">
        <v>20</v>
      </c>
      <c r="E71" s="1" t="s">
        <v>13</v>
      </c>
      <c r="F71" s="2">
        <v>46294</v>
      </c>
      <c r="G71" s="2">
        <v>46324</v>
      </c>
      <c r="H71" s="2"/>
      <c r="I71" s="1" t="s">
        <v>91</v>
      </c>
      <c r="J71" s="1" t="s">
        <v>15</v>
      </c>
      <c r="K71" s="1" t="s">
        <v>42</v>
      </c>
    </row>
    <row r="72" spans="1:11" x14ac:dyDescent="0.25">
      <c r="A72" s="1" t="s">
        <v>134</v>
      </c>
      <c r="B72" s="1" t="s">
        <v>115</v>
      </c>
      <c r="C72" s="1" t="s">
        <v>116</v>
      </c>
      <c r="D72" s="1" t="s">
        <v>12</v>
      </c>
      <c r="E72" s="1" t="s">
        <v>13</v>
      </c>
      <c r="F72" s="2">
        <v>46294</v>
      </c>
      <c r="G72" s="2">
        <v>46304</v>
      </c>
      <c r="H72" s="2"/>
      <c r="I72" s="1" t="s">
        <v>91</v>
      </c>
      <c r="J72" s="1" t="s">
        <v>53</v>
      </c>
      <c r="K72" s="1" t="s">
        <v>16</v>
      </c>
    </row>
    <row r="73" spans="1:11" x14ac:dyDescent="0.25">
      <c r="A73" s="1" t="s">
        <v>135</v>
      </c>
      <c r="B73" s="1" t="s">
        <v>99</v>
      </c>
      <c r="C73" s="1" t="s">
        <v>100</v>
      </c>
      <c r="D73" s="1" t="s">
        <v>26</v>
      </c>
      <c r="E73" s="1" t="s">
        <v>13</v>
      </c>
      <c r="F73" s="2">
        <v>46295</v>
      </c>
      <c r="G73" s="2">
        <v>46310</v>
      </c>
      <c r="H73" s="2"/>
      <c r="I73" s="1" t="s">
        <v>76</v>
      </c>
      <c r="J73" s="1" t="s">
        <v>15</v>
      </c>
      <c r="K73" s="1" t="s">
        <v>22</v>
      </c>
    </row>
    <row r="74" spans="1:11" x14ac:dyDescent="0.25">
      <c r="A74" s="1" t="s">
        <v>136</v>
      </c>
      <c r="B74" s="1" t="s">
        <v>44</v>
      </c>
      <c r="C74" s="1" t="s">
        <v>45</v>
      </c>
      <c r="D74" s="1" t="s">
        <v>41</v>
      </c>
      <c r="E74" s="1" t="s">
        <v>13</v>
      </c>
      <c r="F74" s="2">
        <v>46295</v>
      </c>
      <c r="G74" s="2">
        <v>46305</v>
      </c>
      <c r="H74" s="2"/>
      <c r="I74" s="1" t="s">
        <v>91</v>
      </c>
      <c r="J74" s="1" t="s">
        <v>15</v>
      </c>
      <c r="K74" s="1" t="s">
        <v>22</v>
      </c>
    </row>
    <row r="75" spans="1:11" x14ac:dyDescent="0.25">
      <c r="A75" s="1" t="s">
        <v>137</v>
      </c>
      <c r="B75" s="1" t="s">
        <v>33</v>
      </c>
      <c r="C75" s="1" t="s">
        <v>34</v>
      </c>
      <c r="D75" s="1" t="s">
        <v>12</v>
      </c>
      <c r="E75" s="1" t="s">
        <v>13</v>
      </c>
      <c r="F75" s="2">
        <v>46297</v>
      </c>
      <c r="G75" s="2">
        <v>46304</v>
      </c>
      <c r="H75" s="2"/>
      <c r="I75" s="1" t="s">
        <v>91</v>
      </c>
      <c r="J75" s="1" t="s">
        <v>21</v>
      </c>
      <c r="K75" s="1" t="s">
        <v>16</v>
      </c>
    </row>
    <row r="76" spans="1:11" x14ac:dyDescent="0.25">
      <c r="A76" s="1" t="s">
        <v>138</v>
      </c>
      <c r="B76" s="1" t="s">
        <v>55</v>
      </c>
      <c r="C76" s="1" t="s">
        <v>56</v>
      </c>
      <c r="D76" s="1" t="s">
        <v>12</v>
      </c>
      <c r="E76" s="1" t="s">
        <v>13</v>
      </c>
      <c r="F76" s="2">
        <v>46298</v>
      </c>
      <c r="G76" s="2">
        <v>46328</v>
      </c>
      <c r="H76" s="2"/>
      <c r="I76" s="1" t="s">
        <v>91</v>
      </c>
      <c r="J76" s="1" t="s">
        <v>15</v>
      </c>
      <c r="K76" s="1" t="s">
        <v>22</v>
      </c>
    </row>
    <row r="77" spans="1:11" x14ac:dyDescent="0.25">
      <c r="A77" s="1" t="s">
        <v>139</v>
      </c>
      <c r="B77" s="1" t="s">
        <v>30</v>
      </c>
      <c r="C77" s="1" t="s">
        <v>31</v>
      </c>
      <c r="D77" s="1" t="s">
        <v>12</v>
      </c>
      <c r="E77" s="1" t="s">
        <v>13</v>
      </c>
      <c r="F77" s="2">
        <v>46299</v>
      </c>
      <c r="G77" s="2">
        <v>46309</v>
      </c>
      <c r="H77" s="2"/>
      <c r="I77" s="1" t="s">
        <v>76</v>
      </c>
      <c r="J77" s="1" t="s">
        <v>15</v>
      </c>
      <c r="K77" s="1" t="s">
        <v>22</v>
      </c>
    </row>
    <row r="78" spans="1:11" x14ac:dyDescent="0.25">
      <c r="A78" s="1" t="s">
        <v>140</v>
      </c>
      <c r="B78" s="1" t="s">
        <v>48</v>
      </c>
      <c r="C78" s="1" t="s">
        <v>49</v>
      </c>
      <c r="D78" s="1" t="s">
        <v>41</v>
      </c>
      <c r="E78" s="1" t="s">
        <v>13</v>
      </c>
      <c r="F78" s="2">
        <v>46300</v>
      </c>
      <c r="G78" s="2">
        <v>46310</v>
      </c>
      <c r="H78" s="2"/>
      <c r="I78" s="1" t="s">
        <v>76</v>
      </c>
      <c r="J78" s="1" t="s">
        <v>59</v>
      </c>
      <c r="K78" s="1" t="s">
        <v>22</v>
      </c>
    </row>
    <row r="79" spans="1:11" x14ac:dyDescent="0.25">
      <c r="A79" s="1" t="s">
        <v>141</v>
      </c>
      <c r="B79" s="1" t="s">
        <v>33</v>
      </c>
      <c r="C79" s="1" t="s">
        <v>34</v>
      </c>
      <c r="D79" s="1" t="s">
        <v>12</v>
      </c>
      <c r="E79" s="1" t="s">
        <v>13</v>
      </c>
      <c r="F79" s="2">
        <v>46302</v>
      </c>
      <c r="G79" s="2">
        <v>46322</v>
      </c>
      <c r="H79" s="2"/>
      <c r="I79" s="1" t="s">
        <v>91</v>
      </c>
      <c r="J79" s="1" t="s">
        <v>21</v>
      </c>
      <c r="K79" s="1" t="s">
        <v>16</v>
      </c>
    </row>
    <row r="80" spans="1:11" x14ac:dyDescent="0.25">
      <c r="A80" s="1" t="s">
        <v>142</v>
      </c>
      <c r="B80" s="1" t="s">
        <v>68</v>
      </c>
      <c r="C80" s="1" t="s">
        <v>69</v>
      </c>
      <c r="D80" s="1" t="s">
        <v>41</v>
      </c>
      <c r="E80" s="1" t="s">
        <v>13</v>
      </c>
      <c r="F80" s="2">
        <v>46304</v>
      </c>
      <c r="G80" s="2">
        <v>46334</v>
      </c>
      <c r="H80" s="2"/>
      <c r="I80" s="1" t="s">
        <v>91</v>
      </c>
      <c r="J80" s="1" t="s">
        <v>53</v>
      </c>
      <c r="K80" s="1" t="s">
        <v>42</v>
      </c>
    </row>
    <row r="81" spans="1:11" x14ac:dyDescent="0.25">
      <c r="A81" s="1" t="s">
        <v>143</v>
      </c>
      <c r="B81" s="1" t="s">
        <v>71</v>
      </c>
      <c r="C81" s="1" t="s">
        <v>72</v>
      </c>
      <c r="D81" s="1" t="s">
        <v>20</v>
      </c>
      <c r="E81" s="1" t="s">
        <v>13</v>
      </c>
      <c r="F81" s="2">
        <v>46304</v>
      </c>
      <c r="G81" s="2">
        <v>46319</v>
      </c>
      <c r="H81" s="2"/>
      <c r="I81" s="1" t="s">
        <v>76</v>
      </c>
      <c r="J81" s="1" t="s">
        <v>21</v>
      </c>
      <c r="K81" s="1" t="s">
        <v>22</v>
      </c>
    </row>
    <row r="82" spans="1:11" x14ac:dyDescent="0.25">
      <c r="A82" s="1" t="s">
        <v>144</v>
      </c>
      <c r="B82" s="1" t="s">
        <v>61</v>
      </c>
      <c r="C82" s="1" t="s">
        <v>62</v>
      </c>
      <c r="D82" s="1" t="s">
        <v>12</v>
      </c>
      <c r="E82" s="1" t="s">
        <v>13</v>
      </c>
      <c r="F82" s="2">
        <v>46305</v>
      </c>
      <c r="G82" s="2">
        <v>46320</v>
      </c>
      <c r="H82" s="2"/>
      <c r="I82" s="1" t="s">
        <v>91</v>
      </c>
      <c r="J82" s="1" t="s">
        <v>53</v>
      </c>
      <c r="K82" s="1" t="s">
        <v>42</v>
      </c>
    </row>
    <row r="83" spans="1:11" x14ac:dyDescent="0.25">
      <c r="A83" s="1" t="s">
        <v>145</v>
      </c>
      <c r="B83" s="1" t="s">
        <v>51</v>
      </c>
      <c r="C83" s="1" t="s">
        <v>52</v>
      </c>
      <c r="D83" s="1" t="s">
        <v>20</v>
      </c>
      <c r="E83" s="1" t="s">
        <v>13</v>
      </c>
      <c r="F83" s="2">
        <v>46305</v>
      </c>
      <c r="G83" s="2">
        <v>46325</v>
      </c>
      <c r="H83" s="2"/>
      <c r="I83" s="1" t="s">
        <v>91</v>
      </c>
      <c r="J83" s="1" t="s">
        <v>27</v>
      </c>
      <c r="K83" s="1" t="s">
        <v>22</v>
      </c>
    </row>
    <row r="84" spans="1:11" x14ac:dyDescent="0.25">
      <c r="A84" s="1" t="s">
        <v>146</v>
      </c>
      <c r="B84" s="1" t="s">
        <v>33</v>
      </c>
      <c r="C84" s="1" t="s">
        <v>34</v>
      </c>
      <c r="D84" s="1" t="s">
        <v>12</v>
      </c>
      <c r="E84" s="1" t="s">
        <v>13</v>
      </c>
      <c r="F84" s="2">
        <v>46305</v>
      </c>
      <c r="G84" s="2">
        <v>46312</v>
      </c>
      <c r="H84" s="2"/>
      <c r="I84" s="1" t="s">
        <v>91</v>
      </c>
      <c r="J84" s="1" t="s">
        <v>15</v>
      </c>
      <c r="K84" s="1" t="s">
        <v>16</v>
      </c>
    </row>
    <row r="85" spans="1:11" x14ac:dyDescent="0.25">
      <c r="A85" s="1" t="s">
        <v>147</v>
      </c>
      <c r="B85" s="1" t="s">
        <v>68</v>
      </c>
      <c r="C85" s="1" t="s">
        <v>69</v>
      </c>
      <c r="D85" s="1" t="s">
        <v>41</v>
      </c>
      <c r="E85" s="1" t="s">
        <v>13</v>
      </c>
      <c r="F85" s="2">
        <v>46306</v>
      </c>
      <c r="G85" s="2">
        <v>46336</v>
      </c>
      <c r="H85" s="2"/>
      <c r="I85" s="1" t="s">
        <v>91</v>
      </c>
      <c r="J85" s="1" t="s">
        <v>59</v>
      </c>
      <c r="K85" s="1" t="s">
        <v>22</v>
      </c>
    </row>
    <row r="86" spans="1:11" x14ac:dyDescent="0.25">
      <c r="A86" s="1" t="s">
        <v>148</v>
      </c>
      <c r="B86" s="1" t="s">
        <v>68</v>
      </c>
      <c r="C86" s="1" t="s">
        <v>69</v>
      </c>
      <c r="D86" s="1" t="s">
        <v>41</v>
      </c>
      <c r="E86" s="1" t="s">
        <v>13</v>
      </c>
      <c r="F86" s="2">
        <v>46307</v>
      </c>
      <c r="G86" s="2">
        <v>46314</v>
      </c>
      <c r="H86" s="2"/>
      <c r="I86" s="1" t="s">
        <v>76</v>
      </c>
      <c r="J86" s="1" t="s">
        <v>15</v>
      </c>
      <c r="K86" s="1" t="s">
        <v>16</v>
      </c>
    </row>
    <row r="87" spans="1:11" x14ac:dyDescent="0.25">
      <c r="A87" s="1" t="s">
        <v>149</v>
      </c>
      <c r="B87" s="1" t="s">
        <v>51</v>
      </c>
      <c r="C87" s="1" t="s">
        <v>52</v>
      </c>
      <c r="D87" s="1" t="s">
        <v>20</v>
      </c>
      <c r="E87" s="1" t="s">
        <v>13</v>
      </c>
      <c r="F87" s="2">
        <v>46308</v>
      </c>
      <c r="G87" s="2">
        <v>46315</v>
      </c>
      <c r="H87" s="2"/>
      <c r="I87" s="1" t="s">
        <v>91</v>
      </c>
      <c r="J87" s="1" t="s">
        <v>21</v>
      </c>
      <c r="K87" s="1" t="s">
        <v>16</v>
      </c>
    </row>
    <row r="88" spans="1:11" x14ac:dyDescent="0.25">
      <c r="A88" s="1" t="s">
        <v>150</v>
      </c>
      <c r="B88" s="1" t="s">
        <v>39</v>
      </c>
      <c r="C88" s="1" t="s">
        <v>40</v>
      </c>
      <c r="D88" s="1" t="s">
        <v>41</v>
      </c>
      <c r="E88" s="1" t="s">
        <v>13</v>
      </c>
      <c r="F88" s="2">
        <v>46310</v>
      </c>
      <c r="G88" s="2">
        <v>46325</v>
      </c>
      <c r="H88" s="2"/>
      <c r="I88" s="1" t="s">
        <v>91</v>
      </c>
      <c r="J88" s="1" t="s">
        <v>53</v>
      </c>
      <c r="K88" s="1" t="s">
        <v>16</v>
      </c>
    </row>
    <row r="89" spans="1:11" x14ac:dyDescent="0.25">
      <c r="A89" s="1" t="s">
        <v>151</v>
      </c>
      <c r="B89" s="1" t="s">
        <v>51</v>
      </c>
      <c r="C89" s="1" t="s">
        <v>52</v>
      </c>
      <c r="D89" s="1" t="s">
        <v>20</v>
      </c>
      <c r="E89" s="1" t="s">
        <v>13</v>
      </c>
      <c r="F89" s="2">
        <v>46310</v>
      </c>
      <c r="G89" s="2">
        <v>46317</v>
      </c>
      <c r="H89" s="2"/>
      <c r="I89" s="1" t="s">
        <v>76</v>
      </c>
      <c r="J89" s="1" t="s">
        <v>53</v>
      </c>
      <c r="K89" s="1" t="s">
        <v>22</v>
      </c>
    </row>
    <row r="90" spans="1:11" x14ac:dyDescent="0.25">
      <c r="A90" s="1" t="s">
        <v>152</v>
      </c>
      <c r="B90" s="1" t="s">
        <v>36</v>
      </c>
      <c r="C90" s="1" t="s">
        <v>37</v>
      </c>
      <c r="D90" s="1" t="s">
        <v>26</v>
      </c>
      <c r="E90" s="1" t="s">
        <v>13</v>
      </c>
      <c r="F90" s="2">
        <v>46312</v>
      </c>
      <c r="G90" s="2">
        <v>46322</v>
      </c>
      <c r="H90" s="2"/>
      <c r="I90" s="1" t="s">
        <v>91</v>
      </c>
      <c r="J90" s="1" t="s">
        <v>53</v>
      </c>
      <c r="K90" s="1" t="s">
        <v>22</v>
      </c>
    </row>
    <row r="91" spans="1:11" x14ac:dyDescent="0.25">
      <c r="A91" s="1" t="s">
        <v>153</v>
      </c>
      <c r="B91" s="1" t="s">
        <v>10</v>
      </c>
      <c r="C91" s="1" t="s">
        <v>11</v>
      </c>
      <c r="D91" s="1" t="s">
        <v>12</v>
      </c>
      <c r="E91" s="1" t="s">
        <v>13</v>
      </c>
      <c r="F91" s="2">
        <v>46312</v>
      </c>
      <c r="G91" s="2">
        <v>46319</v>
      </c>
      <c r="H91" s="2"/>
      <c r="I91" s="1" t="s">
        <v>91</v>
      </c>
      <c r="J91" s="1" t="s">
        <v>57</v>
      </c>
      <c r="K91" s="1" t="s">
        <v>22</v>
      </c>
    </row>
    <row r="92" spans="1:11" x14ac:dyDescent="0.25">
      <c r="A92" s="1" t="s">
        <v>154</v>
      </c>
      <c r="B92" s="1" t="s">
        <v>115</v>
      </c>
      <c r="C92" s="1" t="s">
        <v>116</v>
      </c>
      <c r="D92" s="1" t="s">
        <v>12</v>
      </c>
      <c r="E92" s="1" t="s">
        <v>13</v>
      </c>
      <c r="F92" s="2">
        <v>46313</v>
      </c>
      <c r="G92" s="2">
        <v>46323</v>
      </c>
      <c r="H92" s="2"/>
      <c r="I92" s="1" t="s">
        <v>91</v>
      </c>
      <c r="J92" s="1" t="s">
        <v>27</v>
      </c>
      <c r="K92" s="1" t="s">
        <v>42</v>
      </c>
    </row>
    <row r="93" spans="1:11" x14ac:dyDescent="0.25">
      <c r="A93" s="1" t="s">
        <v>155</v>
      </c>
      <c r="B93" s="1" t="s">
        <v>18</v>
      </c>
      <c r="C93" s="1" t="s">
        <v>19</v>
      </c>
      <c r="D93" s="1" t="s">
        <v>20</v>
      </c>
      <c r="E93" s="1" t="s">
        <v>13</v>
      </c>
      <c r="F93" s="2">
        <v>46316</v>
      </c>
      <c r="G93" s="2">
        <v>46323</v>
      </c>
      <c r="H93" s="2"/>
      <c r="I93" s="1" t="s">
        <v>91</v>
      </c>
      <c r="J93" s="1" t="s">
        <v>59</v>
      </c>
      <c r="K93" s="1" t="s">
        <v>22</v>
      </c>
    </row>
    <row r="94" spans="1:11" x14ac:dyDescent="0.25">
      <c r="A94" s="1" t="s">
        <v>156</v>
      </c>
      <c r="B94" s="1" t="s">
        <v>24</v>
      </c>
      <c r="C94" s="1" t="s">
        <v>25</v>
      </c>
      <c r="D94" s="1" t="s">
        <v>26</v>
      </c>
      <c r="E94" s="1" t="s">
        <v>13</v>
      </c>
      <c r="F94" s="2">
        <v>46317</v>
      </c>
      <c r="G94" s="2">
        <v>46337</v>
      </c>
      <c r="H94" s="2"/>
      <c r="I94" s="1" t="s">
        <v>91</v>
      </c>
      <c r="J94" s="1" t="s">
        <v>57</v>
      </c>
      <c r="K94" s="1" t="s">
        <v>22</v>
      </c>
    </row>
    <row r="95" spans="1:11" x14ac:dyDescent="0.25">
      <c r="A95" s="1" t="s">
        <v>157</v>
      </c>
      <c r="B95" s="1" t="s">
        <v>55</v>
      </c>
      <c r="C95" s="1" t="s">
        <v>56</v>
      </c>
      <c r="D95" s="1" t="s">
        <v>12</v>
      </c>
      <c r="E95" s="1" t="s">
        <v>13</v>
      </c>
      <c r="F95" s="2">
        <v>46319</v>
      </c>
      <c r="G95" s="2">
        <v>46334</v>
      </c>
      <c r="H95" s="2"/>
      <c r="I95" s="1" t="s">
        <v>91</v>
      </c>
      <c r="J95" s="1" t="s">
        <v>57</v>
      </c>
      <c r="K95" s="1" t="s">
        <v>16</v>
      </c>
    </row>
    <row r="96" spans="1:11" x14ac:dyDescent="0.25">
      <c r="A96" s="1" t="s">
        <v>158</v>
      </c>
      <c r="B96" s="1" t="s">
        <v>33</v>
      </c>
      <c r="C96" s="1" t="s">
        <v>34</v>
      </c>
      <c r="D96" s="1" t="s">
        <v>12</v>
      </c>
      <c r="E96" s="1" t="s">
        <v>13</v>
      </c>
      <c r="F96" s="2">
        <v>46321</v>
      </c>
      <c r="G96" s="2">
        <v>46331</v>
      </c>
      <c r="H96" s="2"/>
      <c r="I96" s="1" t="s">
        <v>91</v>
      </c>
      <c r="J96" s="1" t="s">
        <v>15</v>
      </c>
      <c r="K96" s="1" t="s">
        <v>22</v>
      </c>
    </row>
    <row r="97" spans="1:11" x14ac:dyDescent="0.25">
      <c r="A97" s="1" t="s">
        <v>159</v>
      </c>
      <c r="B97" s="1" t="s">
        <v>115</v>
      </c>
      <c r="C97" s="1" t="s">
        <v>116</v>
      </c>
      <c r="D97" s="1" t="s">
        <v>12</v>
      </c>
      <c r="E97" s="1" t="s">
        <v>13</v>
      </c>
      <c r="F97" s="2">
        <v>46321</v>
      </c>
      <c r="G97" s="2">
        <v>46331</v>
      </c>
      <c r="H97" s="2"/>
      <c r="I97" s="1" t="s">
        <v>91</v>
      </c>
      <c r="J97" s="1" t="s">
        <v>21</v>
      </c>
      <c r="K97" s="1" t="s">
        <v>22</v>
      </c>
    </row>
    <row r="98" spans="1:11" x14ac:dyDescent="0.25">
      <c r="A98" s="1" t="s">
        <v>160</v>
      </c>
      <c r="B98" s="1" t="s">
        <v>39</v>
      </c>
      <c r="C98" s="1" t="s">
        <v>40</v>
      </c>
      <c r="D98" s="1" t="s">
        <v>41</v>
      </c>
      <c r="E98" s="1" t="s">
        <v>13</v>
      </c>
      <c r="F98" s="2">
        <v>46322</v>
      </c>
      <c r="G98" s="2">
        <v>46329</v>
      </c>
      <c r="H98" s="2"/>
      <c r="I98" s="1" t="s">
        <v>91</v>
      </c>
      <c r="J98" s="1" t="s">
        <v>27</v>
      </c>
      <c r="K98" s="1" t="s">
        <v>22</v>
      </c>
    </row>
    <row r="99" spans="1:11" x14ac:dyDescent="0.25">
      <c r="A99" s="1" t="s">
        <v>161</v>
      </c>
      <c r="B99" s="1" t="s">
        <v>64</v>
      </c>
      <c r="C99" s="1" t="s">
        <v>65</v>
      </c>
      <c r="D99" s="1" t="s">
        <v>20</v>
      </c>
      <c r="E99" s="1" t="s">
        <v>13</v>
      </c>
      <c r="F99" s="2">
        <v>46323</v>
      </c>
      <c r="G99" s="2">
        <v>46333</v>
      </c>
      <c r="H99" s="2"/>
      <c r="I99" s="1" t="s">
        <v>91</v>
      </c>
      <c r="J99" s="1" t="s">
        <v>59</v>
      </c>
      <c r="K99" s="1" t="s">
        <v>42</v>
      </c>
    </row>
    <row r="100" spans="1:11" x14ac:dyDescent="0.25">
      <c r="A100" s="1" t="s">
        <v>162</v>
      </c>
      <c r="B100" s="1" t="s">
        <v>107</v>
      </c>
      <c r="C100" s="1" t="s">
        <v>108</v>
      </c>
      <c r="D100" s="1" t="s">
        <v>26</v>
      </c>
      <c r="E100" s="1" t="s">
        <v>13</v>
      </c>
      <c r="F100" s="2">
        <v>46324</v>
      </c>
      <c r="G100" s="2">
        <v>46334</v>
      </c>
      <c r="H100" s="2"/>
      <c r="I100" s="1" t="s">
        <v>91</v>
      </c>
      <c r="J100" s="1" t="s">
        <v>15</v>
      </c>
      <c r="K100" s="1" t="s">
        <v>16</v>
      </c>
    </row>
    <row r="101" spans="1:11" x14ac:dyDescent="0.25">
      <c r="A101" s="1" t="s">
        <v>163</v>
      </c>
      <c r="B101" s="1" t="s">
        <v>44</v>
      </c>
      <c r="C101" s="1" t="s">
        <v>45</v>
      </c>
      <c r="D101" s="1" t="s">
        <v>41</v>
      </c>
      <c r="E101" s="1" t="s">
        <v>13</v>
      </c>
      <c r="F101" s="2">
        <v>46327</v>
      </c>
      <c r="G101" s="2">
        <v>46334</v>
      </c>
      <c r="H101" s="2"/>
      <c r="I101" s="1" t="s">
        <v>91</v>
      </c>
      <c r="J101" s="1" t="s">
        <v>15</v>
      </c>
      <c r="K101" s="1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D296-2926-4BF5-8E29-9FB41C0EEE9F}">
  <dimension ref="C1:AP107"/>
  <sheetViews>
    <sheetView showGridLines="0" tabSelected="1" workbookViewId="0">
      <selection activeCell="E15" sqref="E15"/>
    </sheetView>
  </sheetViews>
  <sheetFormatPr defaultRowHeight="15" x14ac:dyDescent="0.25"/>
  <cols>
    <col min="3" max="3" width="18.85546875" customWidth="1"/>
    <col min="4" max="4" width="25.7109375" bestFit="1" customWidth="1"/>
    <col min="5" max="5" width="25.7109375" customWidth="1"/>
    <col min="6" max="7" width="25.7109375" bestFit="1" customWidth="1"/>
    <col min="8" max="8" width="25.7109375" style="1" bestFit="1" customWidth="1"/>
    <col min="9" max="9" width="22.7109375" style="1" bestFit="1" customWidth="1"/>
    <col min="10" max="10" width="25.7109375" style="1" bestFit="1" customWidth="1"/>
    <col min="42" max="42" width="10.7109375" bestFit="1" customWidth="1"/>
  </cols>
  <sheetData>
    <row r="1" spans="3:42" s="17" customFormat="1" ht="45" customHeight="1" x14ac:dyDescent="0.25">
      <c r="H1" s="26"/>
      <c r="I1" s="18"/>
      <c r="J1" s="18"/>
      <c r="AP1" s="27">
        <f ca="1">TODAY()</f>
        <v>46304</v>
      </c>
    </row>
    <row r="4" spans="3:42" ht="15.75" thickBot="1" x14ac:dyDescent="0.3"/>
    <row r="5" spans="3:42" ht="15.75" thickBot="1" x14ac:dyDescent="0.3">
      <c r="C5" s="19" t="s">
        <v>165</v>
      </c>
      <c r="D5" s="4" t="s">
        <v>168</v>
      </c>
      <c r="E5" s="5"/>
    </row>
    <row r="6" spans="3:42" ht="15.75" thickBot="1" x14ac:dyDescent="0.3"/>
    <row r="7" spans="3:42" ht="15.75" thickBot="1" x14ac:dyDescent="0.3">
      <c r="C7" s="29" t="s">
        <v>270</v>
      </c>
      <c r="D7" s="30"/>
      <c r="E7" s="1"/>
      <c r="F7" s="19" t="s">
        <v>0</v>
      </c>
      <c r="G7" s="24" t="s">
        <v>2</v>
      </c>
      <c r="H7" s="24" t="s">
        <v>6</v>
      </c>
      <c r="I7" s="24" t="s">
        <v>167</v>
      </c>
      <c r="J7" s="25" t="s">
        <v>7</v>
      </c>
    </row>
    <row r="8" spans="3:42" ht="15.75" thickBot="1" x14ac:dyDescent="0.3">
      <c r="C8" s="20" t="s">
        <v>91</v>
      </c>
      <c r="D8" s="21">
        <f>IF($D$5="Geral",COUNTIF(ordens_de_servico!I:I,resumo!C8),COUNTIFS(ordens_de_servico!J:J,resumo!$D$5,ordens_de_servico!I:I,resumo!C8))</f>
        <v>45</v>
      </c>
      <c r="E8" s="1"/>
      <c r="F8" s="7" t="s">
        <v>9</v>
      </c>
      <c r="G8" s="8" t="s">
        <v>11</v>
      </c>
      <c r="H8" s="9">
        <v>46255</v>
      </c>
      <c r="I8" s="10">
        <f>IF(ordens_de_servico!H2&gt;ordens_de_servico!G2,-DATEDIF(ordens_de_servico!G2,ordens_de_servico!H2,"d"),IF(ordens_de_servico!H2=0,"",DATEDIF(ordens_de_servico!H2,ordens_de_servico!G2,"d")))</f>
        <v>-6</v>
      </c>
      <c r="J8" s="11" t="str">
        <f>IF($D$5=ordens_de_servico!J2,ordens_de_servico!I2,"")</f>
        <v/>
      </c>
    </row>
    <row r="9" spans="3:42" ht="15.75" thickBot="1" x14ac:dyDescent="0.3">
      <c r="C9" s="20" t="s">
        <v>76</v>
      </c>
      <c r="D9" s="21">
        <f>IF($D$5="Geral",COUNTIF(ordens_de_servico!I:I,resumo!C9),COUNTIFS(ordens_de_servico!J:J,resumo!$D$5,ordens_de_servico!I:I,resumo!C9))</f>
        <v>21</v>
      </c>
      <c r="E9" s="1"/>
      <c r="F9" s="7" t="s">
        <v>17</v>
      </c>
      <c r="G9" s="8" t="s">
        <v>19</v>
      </c>
      <c r="H9" s="9">
        <v>46255</v>
      </c>
      <c r="I9" s="10">
        <f>IF(ordens_de_servico!H3&gt;ordens_de_servico!G3,-DATEDIF(ordens_de_servico!G3,ordens_de_servico!H3,"d"),IF(ordens_de_servico!H3=0,"",DATEDIF(ordens_de_servico!H3,ordens_de_servico!G3,"d")))</f>
        <v>2</v>
      </c>
      <c r="J9" s="11" t="str">
        <f>IF($D$5=ordens_de_servico!J3,ordens_de_servico!I3,"")</f>
        <v/>
      </c>
    </row>
    <row r="10" spans="3:42" ht="15.75" thickBot="1" x14ac:dyDescent="0.3">
      <c r="C10" s="20" t="s">
        <v>14</v>
      </c>
      <c r="D10" s="21">
        <f>IF($D$5="Geral",COUNTIF(ordens_de_servico!I:I,resumo!C10),COUNTIFS(ordens_de_servico!J:J,resumo!$D$5,ordens_de_servico!I:I,resumo!C10))</f>
        <v>34</v>
      </c>
      <c r="E10" s="1"/>
      <c r="F10" s="7" t="s">
        <v>23</v>
      </c>
      <c r="G10" s="8" t="s">
        <v>25</v>
      </c>
      <c r="H10" s="9">
        <v>46257</v>
      </c>
      <c r="I10" s="10">
        <f>IF(ordens_de_servico!H4&gt;ordens_de_servico!G4,-DATEDIF(ordens_de_servico!G4,ordens_de_servico!H4,"d"),IF(ordens_de_servico!H4=0,"",DATEDIF(ordens_de_servico!H4,ordens_de_servico!G4,"d")))</f>
        <v>5</v>
      </c>
      <c r="J10" s="11" t="str">
        <f>IF($D$5=ordens_de_servico!J4,ordens_de_servico!I4,"")</f>
        <v/>
      </c>
    </row>
    <row r="11" spans="3:42" ht="15.75" thickBot="1" x14ac:dyDescent="0.3">
      <c r="C11" s="22" t="s">
        <v>166</v>
      </c>
      <c r="D11" s="23">
        <f>SUM(D8:D10)</f>
        <v>100</v>
      </c>
      <c r="E11" s="6"/>
      <c r="F11" s="7" t="s">
        <v>28</v>
      </c>
      <c r="G11" s="8" t="s">
        <v>25</v>
      </c>
      <c r="H11" s="9">
        <v>46248</v>
      </c>
      <c r="I11" s="10">
        <f>IF(ordens_de_servico!H5&gt;ordens_de_servico!G5,-DATEDIF(ordens_de_servico!G5,ordens_de_servico!H5,"d"),IF(ordens_de_servico!H5=0,"",DATEDIF(ordens_de_servico!H5,ordens_de_servico!G5,"d")))</f>
        <v>3</v>
      </c>
      <c r="J11" s="11" t="str">
        <f>IF($D$5=ordens_de_servico!J5,ordens_de_servico!I5,"")</f>
        <v/>
      </c>
    </row>
    <row r="12" spans="3:42" ht="15.75" thickBot="1" x14ac:dyDescent="0.3">
      <c r="C12" s="3"/>
      <c r="F12" s="7" t="s">
        <v>29</v>
      </c>
      <c r="G12" s="8" t="s">
        <v>31</v>
      </c>
      <c r="H12" s="9">
        <v>46246</v>
      </c>
      <c r="I12" s="10">
        <f>IF(ordens_de_servico!H6&gt;ordens_de_servico!G6,-DATEDIF(ordens_de_servico!G6,ordens_de_servico!H6,"d"),IF(ordens_de_servico!H6=0,"",DATEDIF(ordens_de_servico!H6,ordens_de_servico!G6,"d")))</f>
        <v>5</v>
      </c>
      <c r="J12" s="11" t="str">
        <f>IF($D$5=ordens_de_servico!J6,ordens_de_servico!I6,"")</f>
        <v/>
      </c>
    </row>
    <row r="13" spans="3:42" ht="15.75" thickBot="1" x14ac:dyDescent="0.3">
      <c r="C13" s="1"/>
      <c r="F13" s="7" t="s">
        <v>32</v>
      </c>
      <c r="G13" s="8" t="s">
        <v>34</v>
      </c>
      <c r="H13" s="9">
        <v>46254</v>
      </c>
      <c r="I13" s="10">
        <f>IF(ordens_de_servico!H7&gt;ordens_de_servico!G7,-DATEDIF(ordens_de_servico!G7,ordens_de_servico!H7,"d"),IF(ordens_de_servico!H7=0,"",DATEDIF(ordens_de_servico!H7,ordens_de_servico!G7,"d")))</f>
        <v>0</v>
      </c>
      <c r="J13" s="11" t="str">
        <f>IF($D$5=ordens_de_servico!J7,ordens_de_servico!I7,"")</f>
        <v/>
      </c>
    </row>
    <row r="14" spans="3:42" ht="15.75" thickBot="1" x14ac:dyDescent="0.3">
      <c r="C14" s="1"/>
      <c r="F14" s="7" t="s">
        <v>35</v>
      </c>
      <c r="G14" s="8" t="s">
        <v>37</v>
      </c>
      <c r="H14" s="9">
        <v>46259</v>
      </c>
      <c r="I14" s="10">
        <f>IF(ordens_de_servico!H8&gt;ordens_de_servico!G8,-DATEDIF(ordens_de_servico!G8,ordens_de_servico!H8,"d"),IF(ordens_de_servico!H8=0,"",DATEDIF(ordens_de_servico!H8,ordens_de_servico!G8,"d")))</f>
        <v>5</v>
      </c>
      <c r="J14" s="11" t="str">
        <f>IF($D$5=ordens_de_servico!J8,ordens_de_servico!I8,"")</f>
        <v/>
      </c>
    </row>
    <row r="15" spans="3:42" ht="15.75" thickBot="1" x14ac:dyDescent="0.3">
      <c r="C15" s="28"/>
      <c r="F15" s="7" t="s">
        <v>38</v>
      </c>
      <c r="G15" s="8" t="s">
        <v>40</v>
      </c>
      <c r="H15" s="9">
        <v>46247</v>
      </c>
      <c r="I15" s="10">
        <f>IF(ordens_de_servico!H9&gt;ordens_de_servico!G9,-DATEDIF(ordens_de_servico!G9,ordens_de_servico!H9,"d"),IF(ordens_de_servico!H9=0,"",DATEDIF(ordens_de_servico!H9,ordens_de_servico!G9,"d")))</f>
        <v>2</v>
      </c>
      <c r="J15" s="11" t="str">
        <f>IF($D$5=ordens_de_servico!J9,ordens_de_servico!I9,"")</f>
        <v/>
      </c>
    </row>
    <row r="16" spans="3:42" ht="15.75" thickBot="1" x14ac:dyDescent="0.3">
      <c r="C16" s="1"/>
      <c r="F16" s="7" t="s">
        <v>43</v>
      </c>
      <c r="G16" s="8" t="s">
        <v>45</v>
      </c>
      <c r="H16" s="9">
        <v>46251</v>
      </c>
      <c r="I16" s="10">
        <f>IF(ordens_de_servico!H10&gt;ordens_de_servico!G10,-DATEDIF(ordens_de_servico!G10,ordens_de_servico!H10,"d"),IF(ordens_de_servico!H10=0,"",DATEDIF(ordens_de_servico!H10,ordens_de_servico!G10,"d")))</f>
        <v>1</v>
      </c>
      <c r="J16" s="11" t="str">
        <f>IF($D$5=ordens_de_servico!J10,ordens_de_servico!I10,"")</f>
        <v/>
      </c>
    </row>
    <row r="17" spans="3:10" ht="15.75" thickBot="1" x14ac:dyDescent="0.3">
      <c r="C17" s="1"/>
      <c r="F17" s="7" t="s">
        <v>46</v>
      </c>
      <c r="G17" s="8" t="s">
        <v>25</v>
      </c>
      <c r="H17" s="9">
        <v>46249</v>
      </c>
      <c r="I17" s="10">
        <f>IF(ordens_de_servico!H11&gt;ordens_de_servico!G11,-DATEDIF(ordens_de_servico!G11,ordens_de_servico!H11,"d"),IF(ordens_de_servico!H11=0,"",DATEDIF(ordens_de_servico!H11,ordens_de_servico!G11,"d")))</f>
        <v>3</v>
      </c>
      <c r="J17" s="11" t="str">
        <f>IF($D$5=ordens_de_servico!J11,ordens_de_servico!I11,"")</f>
        <v/>
      </c>
    </row>
    <row r="18" spans="3:10" ht="15.75" thickBot="1" x14ac:dyDescent="0.3">
      <c r="C18" s="1"/>
      <c r="F18" s="7" t="s">
        <v>47</v>
      </c>
      <c r="G18" s="8" t="s">
        <v>49</v>
      </c>
      <c r="H18" s="9">
        <v>46249</v>
      </c>
      <c r="I18" s="10">
        <f>IF(ordens_de_servico!H12&gt;ordens_de_servico!G12,-DATEDIF(ordens_de_servico!G12,ordens_de_servico!H12,"d"),IF(ordens_de_servico!H12=0,"",DATEDIF(ordens_de_servico!H12,ordens_de_servico!G12,"d")))</f>
        <v>-6</v>
      </c>
      <c r="J18" s="11" t="str">
        <f>IF($D$5=ordens_de_servico!J12,ordens_de_servico!I12,"")</f>
        <v/>
      </c>
    </row>
    <row r="19" spans="3:10" ht="15.75" thickBot="1" x14ac:dyDescent="0.3">
      <c r="F19" s="7" t="s">
        <v>50</v>
      </c>
      <c r="G19" s="8" t="s">
        <v>52</v>
      </c>
      <c r="H19" s="9">
        <v>46254</v>
      </c>
      <c r="I19" s="10">
        <f>IF(ordens_de_servico!H13&gt;ordens_de_servico!G13,-DATEDIF(ordens_de_servico!G13,ordens_de_servico!H13,"d"),IF(ordens_de_servico!H13=0,"",DATEDIF(ordens_de_servico!H13,ordens_de_servico!G13,"d")))</f>
        <v>2</v>
      </c>
      <c r="J19" s="11" t="str">
        <f>IF($D$5=ordens_de_servico!J13,ordens_de_servico!I13,"")</f>
        <v/>
      </c>
    </row>
    <row r="20" spans="3:10" ht="15.75" thickBot="1" x14ac:dyDescent="0.3">
      <c r="F20" s="7" t="s">
        <v>54</v>
      </c>
      <c r="G20" s="8" t="s">
        <v>56</v>
      </c>
      <c r="H20" s="9">
        <v>46265</v>
      </c>
      <c r="I20" s="10">
        <f>IF(ordens_de_servico!H14&gt;ordens_de_servico!G14,-DATEDIF(ordens_de_servico!G14,ordens_de_servico!H14,"d"),IF(ordens_de_servico!H14=0,"",DATEDIF(ordens_de_servico!H14,ordens_de_servico!G14,"d")))</f>
        <v>4</v>
      </c>
      <c r="J20" s="11" t="str">
        <f>IF($D$5=ordens_de_servico!J14,ordens_de_servico!I14,"")</f>
        <v/>
      </c>
    </row>
    <row r="21" spans="3:10" ht="15.75" thickBot="1" x14ac:dyDescent="0.3">
      <c r="F21" s="7" t="s">
        <v>58</v>
      </c>
      <c r="G21" s="8" t="s">
        <v>25</v>
      </c>
      <c r="H21" s="9">
        <v>46266</v>
      </c>
      <c r="I21" s="10">
        <f>IF(ordens_de_servico!H15&gt;ordens_de_servico!G15,-DATEDIF(ordens_de_servico!G15,ordens_de_servico!H15,"d"),IF(ordens_de_servico!H15=0,"",DATEDIF(ordens_de_servico!H15,ordens_de_servico!G15,"d")))</f>
        <v>4</v>
      </c>
      <c r="J21" s="11" t="str">
        <f>IF($D$5=ordens_de_servico!J15,ordens_de_servico!I15,"")</f>
        <v/>
      </c>
    </row>
    <row r="22" spans="3:10" ht="15.75" thickBot="1" x14ac:dyDescent="0.3">
      <c r="F22" s="7" t="s">
        <v>60</v>
      </c>
      <c r="G22" s="8" t="s">
        <v>62</v>
      </c>
      <c r="H22" s="9">
        <v>46256</v>
      </c>
      <c r="I22" s="10">
        <f>IF(ordens_de_servico!H16&gt;ordens_de_servico!G16,-DATEDIF(ordens_de_servico!G16,ordens_de_servico!H16,"d"),IF(ordens_de_servico!H16=0,"",DATEDIF(ordens_de_servico!H16,ordens_de_servico!G16,"d")))</f>
        <v>3</v>
      </c>
      <c r="J22" s="11" t="str">
        <f>IF($D$5=ordens_de_servico!J16,ordens_de_servico!I16,"")</f>
        <v/>
      </c>
    </row>
    <row r="23" spans="3:10" ht="15.75" thickBot="1" x14ac:dyDescent="0.3">
      <c r="F23" s="7" t="s">
        <v>63</v>
      </c>
      <c r="G23" s="8" t="s">
        <v>65</v>
      </c>
      <c r="H23" s="9">
        <v>46280</v>
      </c>
      <c r="I23" s="10">
        <f>IF(ordens_de_servico!H17&gt;ordens_de_servico!G17,-DATEDIF(ordens_de_servico!G17,ordens_de_servico!H17,"d"),IF(ordens_de_servico!H17=0,"",DATEDIF(ordens_de_servico!H17,ordens_de_servico!G17,"d")))</f>
        <v>0</v>
      </c>
      <c r="J23" s="11" t="str">
        <f>IF($D$5=ordens_de_servico!J17,ordens_de_servico!I17,"")</f>
        <v/>
      </c>
    </row>
    <row r="24" spans="3:10" ht="15.75" thickBot="1" x14ac:dyDescent="0.3">
      <c r="F24" s="7" t="s">
        <v>66</v>
      </c>
      <c r="G24" s="8" t="s">
        <v>34</v>
      </c>
      <c r="H24" s="9">
        <v>46266</v>
      </c>
      <c r="I24" s="10">
        <f>IF(ordens_de_servico!H18&gt;ordens_de_servico!G18,-DATEDIF(ordens_de_servico!G18,ordens_de_servico!H18,"d"),IF(ordens_de_servico!H18=0,"",DATEDIF(ordens_de_servico!H18,ordens_de_servico!G18,"d")))</f>
        <v>3</v>
      </c>
      <c r="J24" s="11" t="str">
        <f>IF($D$5=ordens_de_servico!J18,ordens_de_servico!I18,"")</f>
        <v/>
      </c>
    </row>
    <row r="25" spans="3:10" ht="15.75" thickBot="1" x14ac:dyDescent="0.3">
      <c r="F25" s="7" t="s">
        <v>67</v>
      </c>
      <c r="G25" s="8" t="s">
        <v>69</v>
      </c>
      <c r="H25" s="9">
        <v>46262</v>
      </c>
      <c r="I25" s="10">
        <f>IF(ordens_de_servico!H19&gt;ordens_de_servico!G19,-DATEDIF(ordens_de_servico!G19,ordens_de_servico!H19,"d"),IF(ordens_de_servico!H19=0,"",DATEDIF(ordens_de_servico!H19,ordens_de_servico!G19,"d")))</f>
        <v>0</v>
      </c>
      <c r="J25" s="11" t="str">
        <f>IF($D$5=ordens_de_servico!J19,ordens_de_servico!I19,"")</f>
        <v/>
      </c>
    </row>
    <row r="26" spans="3:10" ht="15.75" thickBot="1" x14ac:dyDescent="0.3">
      <c r="F26" s="7" t="s">
        <v>70</v>
      </c>
      <c r="G26" s="8" t="s">
        <v>72</v>
      </c>
      <c r="H26" s="9">
        <v>46273</v>
      </c>
      <c r="I26" s="10">
        <f>IF(ordens_de_servico!H20&gt;ordens_de_servico!G20,-DATEDIF(ordens_de_servico!G20,ordens_de_servico!H20,"d"),IF(ordens_de_servico!H20=0,"",DATEDIF(ordens_de_servico!H20,ordens_de_servico!G20,"d")))</f>
        <v>-8</v>
      </c>
      <c r="J26" s="11" t="str">
        <f>IF($D$5=ordens_de_servico!J20,ordens_de_servico!I20,"")</f>
        <v/>
      </c>
    </row>
    <row r="27" spans="3:10" ht="15.75" thickBot="1" x14ac:dyDescent="0.3">
      <c r="F27" s="7" t="s">
        <v>73</v>
      </c>
      <c r="G27" s="8" t="s">
        <v>62</v>
      </c>
      <c r="H27" s="9">
        <v>46260</v>
      </c>
      <c r="I27" s="10">
        <f>IF(ordens_de_servico!H21&gt;ordens_de_servico!G21,-DATEDIF(ordens_de_servico!G21,ordens_de_servico!H21,"d"),IF(ordens_de_servico!H21=0,"",DATEDIF(ordens_de_servico!H21,ordens_de_servico!G21,"d")))</f>
        <v>3</v>
      </c>
      <c r="J27" s="11" t="str">
        <f>IF($D$5=ordens_de_servico!J21,ordens_de_servico!I21,"")</f>
        <v/>
      </c>
    </row>
    <row r="28" spans="3:10" ht="15.75" thickBot="1" x14ac:dyDescent="0.3">
      <c r="F28" s="7" t="s">
        <v>74</v>
      </c>
      <c r="G28" s="8" t="s">
        <v>11</v>
      </c>
      <c r="H28" s="9">
        <v>46261</v>
      </c>
      <c r="I28" s="10">
        <f>IF(ordens_de_servico!H22&gt;ordens_de_servico!G22,-DATEDIF(ordens_de_servico!G22,ordens_de_servico!H22,"d"),IF(ordens_de_servico!H22=0,"",DATEDIF(ordens_de_servico!H22,ordens_de_servico!G22,"d")))</f>
        <v>-9</v>
      </c>
      <c r="J28" s="11" t="str">
        <f>IF($D$5=ordens_de_servico!J22,ordens_de_servico!I22,"")</f>
        <v/>
      </c>
    </row>
    <row r="29" spans="3:10" ht="15.75" thickBot="1" x14ac:dyDescent="0.3">
      <c r="F29" s="7" t="s">
        <v>75</v>
      </c>
      <c r="G29" s="8" t="s">
        <v>19</v>
      </c>
      <c r="H29" s="9">
        <v>46274</v>
      </c>
      <c r="I29" s="10" t="str">
        <f>IF(ordens_de_servico!H23&gt;ordens_de_servico!G23,-DATEDIF(ordens_de_servico!G23,ordens_de_servico!H23,"d"),IF(ordens_de_servico!H23=0,"",DATEDIF(ordens_de_servico!H23,ordens_de_servico!G23,"d")))</f>
        <v/>
      </c>
      <c r="J29" s="11" t="str">
        <f>IF($D$5=ordens_de_servico!J23,ordens_de_servico!I23,"")</f>
        <v/>
      </c>
    </row>
    <row r="30" spans="3:10" ht="15.75" thickBot="1" x14ac:dyDescent="0.3">
      <c r="F30" s="7" t="s">
        <v>77</v>
      </c>
      <c r="G30" s="8" t="s">
        <v>72</v>
      </c>
      <c r="H30" s="9">
        <v>46276</v>
      </c>
      <c r="I30" s="10">
        <f>IF(ordens_de_servico!H24&gt;ordens_de_servico!G24,-DATEDIF(ordens_de_servico!G24,ordens_de_servico!H24,"d"),IF(ordens_de_servico!H24=0,"",DATEDIF(ordens_de_servico!H24,ordens_de_servico!G24,"d")))</f>
        <v>1</v>
      </c>
      <c r="J30" s="11" t="str">
        <f>IF($D$5=ordens_de_servico!J24,ordens_de_servico!I24,"")</f>
        <v/>
      </c>
    </row>
    <row r="31" spans="3:10" ht="15.75" thickBot="1" x14ac:dyDescent="0.3">
      <c r="F31" s="7" t="s">
        <v>78</v>
      </c>
      <c r="G31" s="8" t="s">
        <v>11</v>
      </c>
      <c r="H31" s="9">
        <v>46276</v>
      </c>
      <c r="I31" s="10">
        <f>IF(ordens_de_servico!H25&gt;ordens_de_servico!G25,-DATEDIF(ordens_de_servico!G25,ordens_de_servico!H25,"d"),IF(ordens_de_servico!H25=0,"",DATEDIF(ordens_de_servico!H25,ordens_de_servico!G25,"d")))</f>
        <v>11</v>
      </c>
      <c r="J31" s="11" t="str">
        <f>IF($D$5=ordens_de_servico!J25,ordens_de_servico!I25,"")</f>
        <v/>
      </c>
    </row>
    <row r="32" spans="3:10" ht="15.75" thickBot="1" x14ac:dyDescent="0.3">
      <c r="F32" s="7" t="s">
        <v>79</v>
      </c>
      <c r="G32" s="8" t="s">
        <v>81</v>
      </c>
      <c r="H32" s="9">
        <v>46267</v>
      </c>
      <c r="I32" s="10">
        <f>IF(ordens_de_servico!H26&gt;ordens_de_servico!G26,-DATEDIF(ordens_de_servico!G26,ordens_de_servico!H26,"d"),IF(ordens_de_servico!H26=0,"",DATEDIF(ordens_de_servico!H26,ordens_de_servico!G26,"d")))</f>
        <v>4</v>
      </c>
      <c r="J32" s="11" t="str">
        <f>IF($D$5=ordens_de_servico!J26,ordens_de_servico!I26,"")</f>
        <v/>
      </c>
    </row>
    <row r="33" spans="6:10" ht="15.75" thickBot="1" x14ac:dyDescent="0.3">
      <c r="F33" s="7" t="s">
        <v>82</v>
      </c>
      <c r="G33" s="8" t="s">
        <v>65</v>
      </c>
      <c r="H33" s="9">
        <v>46278</v>
      </c>
      <c r="I33" s="10">
        <f>IF(ordens_de_servico!H27&gt;ordens_de_servico!G27,-DATEDIF(ordens_de_servico!G27,ordens_de_servico!H27,"d"),IF(ordens_de_servico!H27=0,"",DATEDIF(ordens_de_servico!H27,ordens_de_servico!G27,"d")))</f>
        <v>19</v>
      </c>
      <c r="J33" s="11" t="str">
        <f>IF($D$5=ordens_de_servico!J27,ordens_de_servico!I27,"")</f>
        <v/>
      </c>
    </row>
    <row r="34" spans="6:10" ht="15.75" thickBot="1" x14ac:dyDescent="0.3">
      <c r="F34" s="7" t="s">
        <v>83</v>
      </c>
      <c r="G34" s="8" t="s">
        <v>34</v>
      </c>
      <c r="H34" s="9">
        <v>46288</v>
      </c>
      <c r="I34" s="10">
        <f>IF(ordens_de_servico!H28&gt;ordens_de_servico!G28,-DATEDIF(ordens_de_servico!G28,ordens_de_servico!H28,"d"),IF(ordens_de_servico!H28=0,"",DATEDIF(ordens_de_servico!H28,ordens_de_servico!G28,"d")))</f>
        <v>0</v>
      </c>
      <c r="J34" s="11" t="str">
        <f>IF($D$5=ordens_de_servico!J28,ordens_de_servico!I28,"")</f>
        <v/>
      </c>
    </row>
    <row r="35" spans="6:10" ht="15.75" thickBot="1" x14ac:dyDescent="0.3">
      <c r="F35" s="7" t="s">
        <v>84</v>
      </c>
      <c r="G35" s="8" t="s">
        <v>19</v>
      </c>
      <c r="H35" s="9">
        <v>46282</v>
      </c>
      <c r="I35" s="10" t="str">
        <f>IF(ordens_de_servico!H29&gt;ordens_de_servico!G29,-DATEDIF(ordens_de_servico!G29,ordens_de_servico!H29,"d"),IF(ordens_de_servico!H29=0,"",DATEDIF(ordens_de_servico!H29,ordens_de_servico!G29,"d")))</f>
        <v/>
      </c>
      <c r="J35" s="11" t="str">
        <f>IF($D$5=ordens_de_servico!J29,ordens_de_servico!I29,"")</f>
        <v/>
      </c>
    </row>
    <row r="36" spans="6:10" ht="15.75" thickBot="1" x14ac:dyDescent="0.3">
      <c r="F36" s="7" t="s">
        <v>85</v>
      </c>
      <c r="G36" s="8" t="s">
        <v>49</v>
      </c>
      <c r="H36" s="9">
        <v>46269</v>
      </c>
      <c r="I36" s="10">
        <f>IF(ordens_de_servico!H30&gt;ordens_de_servico!G30,-DATEDIF(ordens_de_servico!G30,ordens_de_servico!H30,"d"),IF(ordens_de_servico!H30=0,"",DATEDIF(ordens_de_servico!H30,ordens_de_servico!G30,"d")))</f>
        <v>6</v>
      </c>
      <c r="J36" s="11" t="str">
        <f>IF($D$5=ordens_de_servico!J30,ordens_de_servico!I30,"")</f>
        <v/>
      </c>
    </row>
    <row r="37" spans="6:10" ht="15.75" thickBot="1" x14ac:dyDescent="0.3">
      <c r="F37" s="7" t="s">
        <v>86</v>
      </c>
      <c r="G37" s="8" t="s">
        <v>65</v>
      </c>
      <c r="H37" s="9">
        <v>46271</v>
      </c>
      <c r="I37" s="10" t="str">
        <f>IF(ordens_de_servico!H31&gt;ordens_de_servico!G31,-DATEDIF(ordens_de_servico!G31,ordens_de_servico!H31,"d"),IF(ordens_de_servico!H31=0,"",DATEDIF(ordens_de_servico!H31,ordens_de_servico!G31,"d")))</f>
        <v/>
      </c>
      <c r="J37" s="11" t="str">
        <f>IF($D$5=ordens_de_servico!J31,ordens_de_servico!I31,"")</f>
        <v/>
      </c>
    </row>
    <row r="38" spans="6:10" ht="15.75" thickBot="1" x14ac:dyDescent="0.3">
      <c r="F38" s="7" t="s">
        <v>87</v>
      </c>
      <c r="G38" s="8" t="s">
        <v>45</v>
      </c>
      <c r="H38" s="9">
        <v>46284</v>
      </c>
      <c r="I38" s="10">
        <f>IF(ordens_de_servico!H32&gt;ordens_de_servico!G32,-DATEDIF(ordens_de_servico!G32,ordens_de_servico!H32,"d"),IF(ordens_de_servico!H32=0,"",DATEDIF(ordens_de_servico!H32,ordens_de_servico!G32,"d")))</f>
        <v>5</v>
      </c>
      <c r="J38" s="11" t="str">
        <f>IF($D$5=ordens_de_servico!J32,ordens_de_servico!I32,"")</f>
        <v/>
      </c>
    </row>
    <row r="39" spans="6:10" ht="15.75" thickBot="1" x14ac:dyDescent="0.3">
      <c r="F39" s="7" t="s">
        <v>88</v>
      </c>
      <c r="G39" s="8" t="s">
        <v>72</v>
      </c>
      <c r="H39" s="9">
        <v>46272</v>
      </c>
      <c r="I39" s="10" t="str">
        <f>IF(ordens_de_servico!H33&gt;ordens_de_servico!G33,-DATEDIF(ordens_de_servico!G33,ordens_de_servico!H33,"d"),IF(ordens_de_servico!H33=0,"",DATEDIF(ordens_de_servico!H33,ordens_de_servico!G33,"d")))</f>
        <v/>
      </c>
      <c r="J39" s="11" t="str">
        <f>IF($D$5=ordens_de_servico!J33,ordens_de_servico!I33,"")</f>
        <v/>
      </c>
    </row>
    <row r="40" spans="6:10" ht="15.75" thickBot="1" x14ac:dyDescent="0.3">
      <c r="F40" s="7" t="s">
        <v>89</v>
      </c>
      <c r="G40" s="8" t="s">
        <v>31</v>
      </c>
      <c r="H40" s="9">
        <v>46275</v>
      </c>
      <c r="I40" s="10">
        <f>IF(ordens_de_servico!H34&gt;ordens_de_servico!G34,-DATEDIF(ordens_de_servico!G34,ordens_de_servico!H34,"d"),IF(ordens_de_servico!H34=0,"",DATEDIF(ordens_de_servico!H34,ordens_de_servico!G34,"d")))</f>
        <v>-2</v>
      </c>
      <c r="J40" s="11" t="str">
        <f>IF($D$5=ordens_de_servico!J34,ordens_de_servico!I34,"")</f>
        <v/>
      </c>
    </row>
    <row r="41" spans="6:10" ht="15.75" thickBot="1" x14ac:dyDescent="0.3">
      <c r="F41" s="7" t="s">
        <v>90</v>
      </c>
      <c r="G41" s="8" t="s">
        <v>65</v>
      </c>
      <c r="H41" s="9">
        <v>46276</v>
      </c>
      <c r="I41" s="10" t="str">
        <f>IF(ordens_de_servico!H35&gt;ordens_de_servico!G35,-DATEDIF(ordens_de_servico!G35,ordens_de_servico!H35,"d"),IF(ordens_de_servico!H35=0,"",DATEDIF(ordens_de_servico!H35,ordens_de_servico!G35,"d")))</f>
        <v/>
      </c>
      <c r="J41" s="11" t="str">
        <f>IF($D$5=ordens_de_servico!J35,ordens_de_servico!I35,"")</f>
        <v/>
      </c>
    </row>
    <row r="42" spans="6:10" ht="15.75" thickBot="1" x14ac:dyDescent="0.3">
      <c r="F42" s="7" t="s">
        <v>92</v>
      </c>
      <c r="G42" s="8" t="s">
        <v>65</v>
      </c>
      <c r="H42" s="9">
        <v>46276</v>
      </c>
      <c r="I42" s="10" t="str">
        <f>IF(ordens_de_servico!H36&gt;ordens_de_servico!G36,-DATEDIF(ordens_de_servico!G36,ordens_de_servico!H36,"d"),IF(ordens_de_servico!H36=0,"",DATEDIF(ordens_de_servico!H36,ordens_de_servico!G36,"d")))</f>
        <v/>
      </c>
      <c r="J42" s="11" t="str">
        <f>IF($D$5=ordens_de_servico!J36,ordens_de_servico!I36,"")</f>
        <v/>
      </c>
    </row>
    <row r="43" spans="6:10" ht="15.75" thickBot="1" x14ac:dyDescent="0.3">
      <c r="F43" s="7" t="s">
        <v>93</v>
      </c>
      <c r="G43" s="8" t="s">
        <v>25</v>
      </c>
      <c r="H43" s="9">
        <v>46282</v>
      </c>
      <c r="I43" s="10">
        <f>IF(ordens_de_servico!H37&gt;ordens_de_servico!G37,-DATEDIF(ordens_de_servico!G37,ordens_de_servico!H37,"d"),IF(ordens_de_servico!H37=0,"",DATEDIF(ordens_de_servico!H37,ordens_de_servico!G37,"d")))</f>
        <v>5</v>
      </c>
      <c r="J43" s="11" t="str">
        <f>IF($D$5=ordens_de_servico!J37,ordens_de_servico!I37,"")</f>
        <v/>
      </c>
    </row>
    <row r="44" spans="6:10" ht="15.75" thickBot="1" x14ac:dyDescent="0.3">
      <c r="F44" s="7" t="s">
        <v>94</v>
      </c>
      <c r="G44" s="8" t="s">
        <v>62</v>
      </c>
      <c r="H44" s="9">
        <v>46287</v>
      </c>
      <c r="I44" s="10" t="str">
        <f>IF(ordens_de_servico!H38&gt;ordens_de_servico!G38,-DATEDIF(ordens_de_servico!G38,ordens_de_servico!H38,"d"),IF(ordens_de_servico!H38=0,"",DATEDIF(ordens_de_servico!H38,ordens_de_servico!G38,"d")))</f>
        <v/>
      </c>
      <c r="J44" s="11" t="str">
        <f>IF($D$5=ordens_de_servico!J38,ordens_de_servico!I38,"")</f>
        <v/>
      </c>
    </row>
    <row r="45" spans="6:10" ht="15.75" thickBot="1" x14ac:dyDescent="0.3">
      <c r="F45" s="7" t="s">
        <v>95</v>
      </c>
      <c r="G45" s="8" t="s">
        <v>19</v>
      </c>
      <c r="H45" s="9">
        <v>46288</v>
      </c>
      <c r="I45" s="10">
        <f>IF(ordens_de_servico!H39&gt;ordens_de_servico!G39,-DATEDIF(ordens_de_servico!G39,ordens_de_servico!H39,"d"),IF(ordens_de_servico!H39=0,"",DATEDIF(ordens_de_servico!H39,ordens_de_servico!G39,"d")))</f>
        <v>-83</v>
      </c>
      <c r="J45" s="11" t="str">
        <f>IF($D$5=ordens_de_servico!J39,ordens_de_servico!I39,"")</f>
        <v/>
      </c>
    </row>
    <row r="46" spans="6:10" ht="15.75" thickBot="1" x14ac:dyDescent="0.3">
      <c r="F46" s="7" t="s">
        <v>96</v>
      </c>
      <c r="G46" s="8" t="s">
        <v>11</v>
      </c>
      <c r="H46" s="9">
        <v>46283</v>
      </c>
      <c r="I46" s="10">
        <f>IF(ordens_de_servico!H40&gt;ordens_de_servico!G40,-DATEDIF(ordens_de_servico!G40,ordens_de_servico!H40,"d"),IF(ordens_de_servico!H40=0,"",DATEDIF(ordens_de_servico!H40,ordens_de_servico!G40,"d")))</f>
        <v>-47</v>
      </c>
      <c r="J46" s="11" t="str">
        <f>IF($D$5=ordens_de_servico!J40,ordens_de_servico!I40,"")</f>
        <v/>
      </c>
    </row>
    <row r="47" spans="6:10" ht="15.75" thickBot="1" x14ac:dyDescent="0.3">
      <c r="F47" s="7" t="s">
        <v>97</v>
      </c>
      <c r="G47" s="8" t="s">
        <v>65</v>
      </c>
      <c r="H47" s="9">
        <v>46303</v>
      </c>
      <c r="I47" s="10" t="str">
        <f>IF(ordens_de_servico!H41&gt;ordens_de_servico!G41,-DATEDIF(ordens_de_servico!G41,ordens_de_servico!H41,"d"),IF(ordens_de_servico!H41=0,"",DATEDIF(ordens_de_servico!H41,ordens_de_servico!G41,"d")))</f>
        <v/>
      </c>
      <c r="J47" s="11" t="str">
        <f>IF($D$5=ordens_de_servico!J41,ordens_de_servico!I41,"")</f>
        <v/>
      </c>
    </row>
    <row r="48" spans="6:10" ht="15.75" thickBot="1" x14ac:dyDescent="0.3">
      <c r="F48" s="7" t="s">
        <v>98</v>
      </c>
      <c r="G48" s="8" t="s">
        <v>100</v>
      </c>
      <c r="H48" s="9">
        <v>46283</v>
      </c>
      <c r="I48" s="10">
        <f>IF(ordens_de_servico!H42&gt;ordens_de_servico!G42,-DATEDIF(ordens_de_servico!G42,ordens_de_servico!H42,"d"),IF(ordens_de_servico!H42=0,"",DATEDIF(ordens_de_servico!H42,ordens_de_servico!G42,"d")))</f>
        <v>1</v>
      </c>
      <c r="J48" s="11" t="str">
        <f>IF($D$5=ordens_de_servico!J42,ordens_de_servico!I42,"")</f>
        <v/>
      </c>
    </row>
    <row r="49" spans="6:10" ht="15.75" thickBot="1" x14ac:dyDescent="0.3">
      <c r="F49" s="7" t="s">
        <v>101</v>
      </c>
      <c r="G49" s="8" t="s">
        <v>34</v>
      </c>
      <c r="H49" s="9">
        <v>46283</v>
      </c>
      <c r="I49" s="10">
        <f>IF(ordens_de_servico!H43&gt;ordens_de_servico!G43,-DATEDIF(ordens_de_servico!G43,ordens_de_servico!H43,"d"),IF(ordens_de_servico!H43=0,"",DATEDIF(ordens_de_servico!H43,ordens_de_servico!G43,"d")))</f>
        <v>-3</v>
      </c>
      <c r="J49" s="11" t="str">
        <f>IF($D$5=ordens_de_servico!J43,ordens_de_servico!I43,"")</f>
        <v/>
      </c>
    </row>
    <row r="50" spans="6:10" ht="15.75" thickBot="1" x14ac:dyDescent="0.3">
      <c r="F50" s="7" t="s">
        <v>102</v>
      </c>
      <c r="G50" s="8" t="s">
        <v>37</v>
      </c>
      <c r="H50" s="9">
        <v>46281</v>
      </c>
      <c r="I50" s="10" t="str">
        <f>IF(ordens_de_servico!H44&gt;ordens_de_servico!G44,-DATEDIF(ordens_de_servico!G44,ordens_de_servico!H44,"d"),IF(ordens_de_servico!H44=0,"",DATEDIF(ordens_de_servico!H44,ordens_de_servico!G44,"d")))</f>
        <v/>
      </c>
      <c r="J50" s="11" t="str">
        <f>IF($D$5=ordens_de_servico!J44,ordens_de_servico!I44,"")</f>
        <v/>
      </c>
    </row>
    <row r="51" spans="6:10" ht="15.75" thickBot="1" x14ac:dyDescent="0.3">
      <c r="F51" s="7" t="s">
        <v>103</v>
      </c>
      <c r="G51" s="8" t="s">
        <v>72</v>
      </c>
      <c r="H51" s="9">
        <v>46304</v>
      </c>
      <c r="I51" s="10" t="str">
        <f>IF(ordens_de_servico!H45&gt;ordens_de_servico!G45,-DATEDIF(ordens_de_servico!G45,ordens_de_servico!H45,"d"),IF(ordens_de_servico!H45=0,"",DATEDIF(ordens_de_servico!H45,ordens_de_servico!G45,"d")))</f>
        <v/>
      </c>
      <c r="J51" s="11" t="str">
        <f>IF($D$5=ordens_de_servico!J45,ordens_de_servico!I45,"")</f>
        <v/>
      </c>
    </row>
    <row r="52" spans="6:10" ht="15.75" thickBot="1" x14ac:dyDescent="0.3">
      <c r="F52" s="7" t="s">
        <v>104</v>
      </c>
      <c r="G52" s="8" t="s">
        <v>62</v>
      </c>
      <c r="H52" s="9">
        <v>46304</v>
      </c>
      <c r="I52" s="10" t="str">
        <f>IF(ordens_de_servico!H46&gt;ordens_de_servico!G46,-DATEDIF(ordens_de_servico!G46,ordens_de_servico!H46,"d"),IF(ordens_de_servico!H46=0,"",DATEDIF(ordens_de_servico!H46,ordens_de_servico!G46,"d")))</f>
        <v/>
      </c>
      <c r="J52" s="11" t="str">
        <f>IF($D$5=ordens_de_servico!J46,ordens_de_servico!I46,"")</f>
        <v/>
      </c>
    </row>
    <row r="53" spans="6:10" ht="15.75" thickBot="1" x14ac:dyDescent="0.3">
      <c r="F53" s="7" t="s">
        <v>105</v>
      </c>
      <c r="G53" s="8" t="s">
        <v>69</v>
      </c>
      <c r="H53" s="9">
        <v>46304</v>
      </c>
      <c r="I53" s="10" t="str">
        <f>IF(ordens_de_servico!H47&gt;ordens_de_servico!G47,-DATEDIF(ordens_de_servico!G47,ordens_de_servico!H47,"d"),IF(ordens_de_servico!H47=0,"",DATEDIF(ordens_de_servico!H47,ordens_de_servico!G47,"d")))</f>
        <v/>
      </c>
      <c r="J53" s="11" t="str">
        <f>IF($D$5=ordens_de_servico!J47,ordens_de_servico!I47,"")</f>
        <v/>
      </c>
    </row>
    <row r="54" spans="6:10" ht="15.75" thickBot="1" x14ac:dyDescent="0.3">
      <c r="F54" s="7" t="s">
        <v>106</v>
      </c>
      <c r="G54" s="8" t="s">
        <v>108</v>
      </c>
      <c r="H54" s="9">
        <v>46304</v>
      </c>
      <c r="I54" s="10" t="str">
        <f>IF(ordens_de_servico!H48&gt;ordens_de_servico!G48,-DATEDIF(ordens_de_servico!G48,ordens_de_servico!H48,"d"),IF(ordens_de_servico!H48=0,"",DATEDIF(ordens_de_servico!H48,ordens_de_servico!G48,"d")))</f>
        <v/>
      </c>
      <c r="J54" s="11" t="str">
        <f>IF($D$5=ordens_de_servico!J48,ordens_de_servico!I48,"")</f>
        <v/>
      </c>
    </row>
    <row r="55" spans="6:10" ht="15.75" thickBot="1" x14ac:dyDescent="0.3">
      <c r="F55" s="7" t="s">
        <v>109</v>
      </c>
      <c r="G55" s="8" t="s">
        <v>11</v>
      </c>
      <c r="H55" s="9">
        <v>46297</v>
      </c>
      <c r="I55" s="10" t="str">
        <f>IF(ordens_de_servico!H49&gt;ordens_de_servico!G49,-DATEDIF(ordens_de_servico!G49,ordens_de_servico!H49,"d"),IF(ordens_de_servico!H49=0,"",DATEDIF(ordens_de_servico!H49,ordens_de_servico!G49,"d")))</f>
        <v/>
      </c>
      <c r="J55" s="11" t="str">
        <f>IF($D$5=ordens_de_servico!J49,ordens_de_servico!I49,"")</f>
        <v/>
      </c>
    </row>
    <row r="56" spans="6:10" ht="15.75" thickBot="1" x14ac:dyDescent="0.3">
      <c r="F56" s="7" t="s">
        <v>110</v>
      </c>
      <c r="G56" s="8" t="s">
        <v>11</v>
      </c>
      <c r="H56" s="9">
        <v>46294</v>
      </c>
      <c r="I56" s="10" t="str">
        <f>IF(ordens_de_servico!H50&gt;ordens_de_servico!G50,-DATEDIF(ordens_de_servico!G50,ordens_de_servico!H50,"d"),IF(ordens_de_servico!H50=0,"",DATEDIF(ordens_de_servico!H50,ordens_de_servico!G50,"d")))</f>
        <v/>
      </c>
      <c r="J56" s="11" t="str">
        <f>IF($D$5=ordens_de_servico!J50,ordens_de_servico!I50,"")</f>
        <v/>
      </c>
    </row>
    <row r="57" spans="6:10" ht="15.75" thickBot="1" x14ac:dyDescent="0.3">
      <c r="F57" s="7" t="s">
        <v>111</v>
      </c>
      <c r="G57" s="8" t="s">
        <v>40</v>
      </c>
      <c r="H57" s="9">
        <v>46310</v>
      </c>
      <c r="I57" s="10" t="str">
        <f>IF(ordens_de_servico!H51&gt;ordens_de_servico!G51,-DATEDIF(ordens_de_servico!G51,ordens_de_servico!H51,"d"),IF(ordens_de_servico!H51=0,"",DATEDIF(ordens_de_servico!H51,ordens_de_servico!G51,"d")))</f>
        <v/>
      </c>
      <c r="J57" s="11" t="str">
        <f>IF($D$5=ordens_de_servico!J51,ordens_de_servico!I51,"")</f>
        <v/>
      </c>
    </row>
    <row r="58" spans="6:10" ht="15.75" thickBot="1" x14ac:dyDescent="0.3">
      <c r="F58" s="7" t="s">
        <v>112</v>
      </c>
      <c r="G58" s="8" t="s">
        <v>108</v>
      </c>
      <c r="H58" s="9">
        <v>46289</v>
      </c>
      <c r="I58" s="10" t="str">
        <f>IF(ordens_de_servico!H52&gt;ordens_de_servico!G52,-DATEDIF(ordens_de_servico!G52,ordens_de_servico!H52,"d"),IF(ordens_de_servico!H52=0,"",DATEDIF(ordens_de_servico!H52,ordens_de_servico!G52,"d")))</f>
        <v/>
      </c>
      <c r="J58" s="11" t="str">
        <f>IF($D$5=ordens_de_servico!J52,ordens_de_servico!I52,"")</f>
        <v/>
      </c>
    </row>
    <row r="59" spans="6:10" ht="15.75" thickBot="1" x14ac:dyDescent="0.3">
      <c r="F59" s="7" t="s">
        <v>113</v>
      </c>
      <c r="G59" s="8" t="s">
        <v>37</v>
      </c>
      <c r="H59" s="9">
        <v>46303</v>
      </c>
      <c r="I59" s="10" t="str">
        <f>IF(ordens_de_servico!H53&gt;ordens_de_servico!G53,-DATEDIF(ordens_de_servico!G53,ordens_de_servico!H53,"d"),IF(ordens_de_servico!H53=0,"",DATEDIF(ordens_de_servico!H53,ordens_de_servico!G53,"d")))</f>
        <v/>
      </c>
      <c r="J59" s="11" t="str">
        <f>IF($D$5=ordens_de_servico!J53,ordens_de_servico!I53,"")</f>
        <v/>
      </c>
    </row>
    <row r="60" spans="6:10" ht="15.75" thickBot="1" x14ac:dyDescent="0.3">
      <c r="F60" s="7" t="s">
        <v>114</v>
      </c>
      <c r="G60" s="8" t="s">
        <v>116</v>
      </c>
      <c r="H60" s="9">
        <v>46301</v>
      </c>
      <c r="I60" s="10" t="str">
        <f>IF(ordens_de_servico!H54&gt;ordens_de_servico!G54,-DATEDIF(ordens_de_servico!G54,ordens_de_servico!H54,"d"),IF(ordens_de_servico!H54=0,"",DATEDIF(ordens_de_servico!H54,ordens_de_servico!G54,"d")))</f>
        <v/>
      </c>
      <c r="J60" s="11" t="str">
        <f>IF($D$5=ordens_de_servico!J54,ordens_de_servico!I54,"")</f>
        <v/>
      </c>
    </row>
    <row r="61" spans="6:10" ht="15.75" thickBot="1" x14ac:dyDescent="0.3">
      <c r="F61" s="7" t="s">
        <v>117</v>
      </c>
      <c r="G61" s="8" t="s">
        <v>34</v>
      </c>
      <c r="H61" s="9">
        <v>46302</v>
      </c>
      <c r="I61" s="10" t="str">
        <f>IF(ordens_de_servico!H55&gt;ordens_de_servico!G55,-DATEDIF(ordens_de_servico!G55,ordens_de_servico!H55,"d"),IF(ordens_de_servico!H55=0,"",DATEDIF(ordens_de_servico!H55,ordens_de_servico!G55,"d")))</f>
        <v/>
      </c>
      <c r="J61" s="11" t="str">
        <f>IF($D$5=ordens_de_servico!J55,ordens_de_servico!I55,"")</f>
        <v/>
      </c>
    </row>
    <row r="62" spans="6:10" ht="15.75" thickBot="1" x14ac:dyDescent="0.3">
      <c r="F62" s="7" t="s">
        <v>118</v>
      </c>
      <c r="G62" s="8" t="s">
        <v>34</v>
      </c>
      <c r="H62" s="9">
        <v>46309</v>
      </c>
      <c r="I62" s="10" t="str">
        <f>IF(ordens_de_servico!H56&gt;ordens_de_servico!G56,-DATEDIF(ordens_de_servico!G56,ordens_de_servico!H56,"d"),IF(ordens_de_servico!H56=0,"",DATEDIF(ordens_de_servico!H56,ordens_de_servico!G56,"d")))</f>
        <v/>
      </c>
      <c r="J62" s="11" t="str">
        <f>IF($D$5=ordens_de_servico!J56,ordens_de_servico!I56,"")</f>
        <v/>
      </c>
    </row>
    <row r="63" spans="6:10" ht="15.75" thickBot="1" x14ac:dyDescent="0.3">
      <c r="F63" s="7" t="s">
        <v>119</v>
      </c>
      <c r="G63" s="8" t="s">
        <v>56</v>
      </c>
      <c r="H63" s="9">
        <v>46300</v>
      </c>
      <c r="I63" s="10" t="str">
        <f>IF(ordens_de_servico!H57&gt;ordens_de_servico!G57,-DATEDIF(ordens_de_servico!G57,ordens_de_servico!H57,"d"),IF(ordens_de_servico!H57=0,"",DATEDIF(ordens_de_servico!H57,ordens_de_servico!G57,"d")))</f>
        <v/>
      </c>
      <c r="J63" s="11" t="str">
        <f>IF($D$5=ordens_de_servico!J57,ordens_de_servico!I57,"")</f>
        <v/>
      </c>
    </row>
    <row r="64" spans="6:10" ht="15.75" thickBot="1" x14ac:dyDescent="0.3">
      <c r="F64" s="7" t="s">
        <v>120</v>
      </c>
      <c r="G64" s="8" t="s">
        <v>11</v>
      </c>
      <c r="H64" s="9">
        <v>46320</v>
      </c>
      <c r="I64" s="10" t="str">
        <f>IF(ordens_de_servico!H58&gt;ordens_de_servico!G58,-DATEDIF(ordens_de_servico!G58,ordens_de_servico!H58,"d"),IF(ordens_de_servico!H58=0,"",DATEDIF(ordens_de_servico!H58,ordens_de_servico!G58,"d")))</f>
        <v/>
      </c>
      <c r="J64" s="11" t="str">
        <f>IF($D$5=ordens_de_servico!J58,ordens_de_servico!I58,"")</f>
        <v/>
      </c>
    </row>
    <row r="65" spans="6:10" ht="15.75" thickBot="1" x14ac:dyDescent="0.3">
      <c r="F65" s="7" t="s">
        <v>121</v>
      </c>
      <c r="G65" s="8" t="s">
        <v>11</v>
      </c>
      <c r="H65" s="9">
        <v>46310</v>
      </c>
      <c r="I65" s="10" t="str">
        <f>IF(ordens_de_servico!H59&gt;ordens_de_servico!G59,-DATEDIF(ordens_de_servico!G59,ordens_de_servico!H59,"d"),IF(ordens_de_servico!H59=0,"",DATEDIF(ordens_de_servico!H59,ordens_de_servico!G59,"d")))</f>
        <v/>
      </c>
      <c r="J65" s="11" t="str">
        <f>IF($D$5=ordens_de_servico!J59,ordens_de_servico!I59,"")</f>
        <v/>
      </c>
    </row>
    <row r="66" spans="6:10" ht="15.75" thickBot="1" x14ac:dyDescent="0.3">
      <c r="F66" s="7" t="s">
        <v>122</v>
      </c>
      <c r="G66" s="8" t="s">
        <v>34</v>
      </c>
      <c r="H66" s="9">
        <v>46311</v>
      </c>
      <c r="I66" s="10" t="str">
        <f>IF(ordens_de_servico!H60&gt;ordens_de_servico!G60,-DATEDIF(ordens_de_servico!G60,ordens_de_servico!H60,"d"),IF(ordens_de_servico!H60=0,"",DATEDIF(ordens_de_servico!H60,ordens_de_servico!G60,"d")))</f>
        <v/>
      </c>
      <c r="J66" s="11" t="str">
        <f>IF($D$5=ordens_de_servico!J60,ordens_de_servico!I60,"")</f>
        <v/>
      </c>
    </row>
    <row r="67" spans="6:10" ht="15.75" thickBot="1" x14ac:dyDescent="0.3">
      <c r="F67" s="7" t="s">
        <v>123</v>
      </c>
      <c r="G67" s="8" t="s">
        <v>108</v>
      </c>
      <c r="H67" s="9">
        <v>46306</v>
      </c>
      <c r="I67" s="10" t="str">
        <f>IF(ordens_de_servico!H61&gt;ordens_de_servico!G61,-DATEDIF(ordens_de_servico!G61,ordens_de_servico!H61,"d"),IF(ordens_de_servico!H61=0,"",DATEDIF(ordens_de_servico!H61,ordens_de_servico!G61,"d")))</f>
        <v/>
      </c>
      <c r="J67" s="11" t="str">
        <f>IF($D$5=ordens_de_servico!J61,ordens_de_servico!I61,"")</f>
        <v/>
      </c>
    </row>
    <row r="68" spans="6:10" ht="15.75" thickBot="1" x14ac:dyDescent="0.3">
      <c r="F68" s="7" t="s">
        <v>124</v>
      </c>
      <c r="G68" s="8" t="s">
        <v>69</v>
      </c>
      <c r="H68" s="9">
        <v>46298</v>
      </c>
      <c r="I68" s="10" t="str">
        <f>IF(ordens_de_servico!H62&gt;ordens_de_servico!G62,-DATEDIF(ordens_de_servico!G62,ordens_de_servico!H62,"d"),IF(ordens_de_servico!H62=0,"",DATEDIF(ordens_de_servico!H62,ordens_de_servico!G62,"d")))</f>
        <v/>
      </c>
      <c r="J68" s="11" t="str">
        <f>IF($D$5=ordens_de_servico!J62,ordens_de_servico!I62,"")</f>
        <v/>
      </c>
    </row>
    <row r="69" spans="6:10" ht="15.75" thickBot="1" x14ac:dyDescent="0.3">
      <c r="F69" s="7" t="s">
        <v>125</v>
      </c>
      <c r="G69" s="8" t="s">
        <v>19</v>
      </c>
      <c r="H69" s="9">
        <v>46301</v>
      </c>
      <c r="I69" s="10" t="str">
        <f>IF(ordens_de_servico!H63&gt;ordens_de_servico!G63,-DATEDIF(ordens_de_servico!G63,ordens_de_servico!H63,"d"),IF(ordens_de_servico!H63=0,"",DATEDIF(ordens_de_servico!H63,ordens_de_servico!G63,"d")))</f>
        <v/>
      </c>
      <c r="J69" s="11" t="str">
        <f>IF($D$5=ordens_de_servico!J63,ordens_de_servico!I63,"")</f>
        <v/>
      </c>
    </row>
    <row r="70" spans="6:10" ht="15.75" thickBot="1" x14ac:dyDescent="0.3">
      <c r="F70" s="7" t="s">
        <v>126</v>
      </c>
      <c r="G70" s="8" t="s">
        <v>100</v>
      </c>
      <c r="H70" s="9">
        <v>46311</v>
      </c>
      <c r="I70" s="10" t="str">
        <f>IF(ordens_de_servico!H64&gt;ordens_de_servico!G64,-DATEDIF(ordens_de_servico!G64,ordens_de_servico!H64,"d"),IF(ordens_de_servico!H64=0,"",DATEDIF(ordens_de_servico!H64,ordens_de_servico!G64,"d")))</f>
        <v/>
      </c>
      <c r="J70" s="11" t="str">
        <f>IF($D$5=ordens_de_servico!J64,ordens_de_servico!I64,"")</f>
        <v/>
      </c>
    </row>
    <row r="71" spans="6:10" ht="15.75" thickBot="1" x14ac:dyDescent="0.3">
      <c r="F71" s="7" t="s">
        <v>127</v>
      </c>
      <c r="G71" s="8" t="s">
        <v>108</v>
      </c>
      <c r="H71" s="9">
        <v>46301</v>
      </c>
      <c r="I71" s="10" t="str">
        <f>IF(ordens_de_servico!H65&gt;ordens_de_servico!G65,-DATEDIF(ordens_de_servico!G65,ordens_de_servico!H65,"d"),IF(ordens_de_servico!H65=0,"",DATEDIF(ordens_de_servico!H65,ordens_de_servico!G65,"d")))</f>
        <v/>
      </c>
      <c r="J71" s="11" t="str">
        <f>IF($D$5=ordens_de_servico!J65,ordens_de_servico!I65,"")</f>
        <v/>
      </c>
    </row>
    <row r="72" spans="6:10" ht="15.75" thickBot="1" x14ac:dyDescent="0.3">
      <c r="F72" s="7" t="s">
        <v>128</v>
      </c>
      <c r="G72" s="8" t="s">
        <v>45</v>
      </c>
      <c r="H72" s="9">
        <v>46322</v>
      </c>
      <c r="I72" s="10" t="str">
        <f>IF(ordens_de_servico!H66&gt;ordens_de_servico!G66,-DATEDIF(ordens_de_servico!G66,ordens_de_servico!H66,"d"),IF(ordens_de_servico!H66=0,"",DATEDIF(ordens_de_servico!H66,ordens_de_servico!G66,"d")))</f>
        <v/>
      </c>
      <c r="J72" s="11" t="str">
        <f>IF($D$5=ordens_de_servico!J66,ordens_de_servico!I66,"")</f>
        <v/>
      </c>
    </row>
    <row r="73" spans="6:10" ht="15.75" thickBot="1" x14ac:dyDescent="0.3">
      <c r="F73" s="7" t="s">
        <v>129</v>
      </c>
      <c r="G73" s="8" t="s">
        <v>49</v>
      </c>
      <c r="H73" s="9">
        <v>46300</v>
      </c>
      <c r="I73" s="10" t="str">
        <f>IF(ordens_de_servico!H67&gt;ordens_de_servico!G67,-DATEDIF(ordens_de_servico!G67,ordens_de_servico!H67,"d"),IF(ordens_de_servico!H67=0,"",DATEDIF(ordens_de_servico!H67,ordens_de_servico!G67,"d")))</f>
        <v/>
      </c>
      <c r="J73" s="11" t="str">
        <f>IF($D$5=ordens_de_servico!J67,ordens_de_servico!I67,"")</f>
        <v/>
      </c>
    </row>
    <row r="74" spans="6:10" ht="15.75" thickBot="1" x14ac:dyDescent="0.3">
      <c r="F74" s="7" t="s">
        <v>130</v>
      </c>
      <c r="G74" s="8" t="s">
        <v>45</v>
      </c>
      <c r="H74" s="9">
        <v>46303</v>
      </c>
      <c r="I74" s="10" t="str">
        <f>IF(ordens_de_servico!H68&gt;ordens_de_servico!G68,-DATEDIF(ordens_de_servico!G68,ordens_de_servico!H68,"d"),IF(ordens_de_servico!H68=0,"",DATEDIF(ordens_de_servico!H68,ordens_de_servico!G68,"d")))</f>
        <v/>
      </c>
      <c r="J74" s="11" t="str">
        <f>IF($D$5=ordens_de_servico!J68,ordens_de_servico!I68,"")</f>
        <v/>
      </c>
    </row>
    <row r="75" spans="6:10" ht="15.75" thickBot="1" x14ac:dyDescent="0.3">
      <c r="F75" s="7" t="s">
        <v>131</v>
      </c>
      <c r="G75" s="8" t="s">
        <v>62</v>
      </c>
      <c r="H75" s="9">
        <v>46300</v>
      </c>
      <c r="I75" s="10" t="str">
        <f>IF(ordens_de_servico!H69&gt;ordens_de_servico!G69,-DATEDIF(ordens_de_servico!G69,ordens_de_servico!H69,"d"),IF(ordens_de_servico!H69=0,"",DATEDIF(ordens_de_servico!H69,ordens_de_servico!G69,"d")))</f>
        <v/>
      </c>
      <c r="J75" s="11" t="str">
        <f>IF($D$5=ordens_de_servico!J69,ordens_de_servico!I69,"")</f>
        <v/>
      </c>
    </row>
    <row r="76" spans="6:10" ht="15.75" thickBot="1" x14ac:dyDescent="0.3">
      <c r="F76" s="7" t="s">
        <v>132</v>
      </c>
      <c r="G76" s="8" t="s">
        <v>108</v>
      </c>
      <c r="H76" s="9">
        <v>46313</v>
      </c>
      <c r="I76" s="10" t="str">
        <f>IF(ordens_de_servico!H70&gt;ordens_de_servico!G70,-DATEDIF(ordens_de_servico!G70,ordens_de_servico!H70,"d"),IF(ordens_de_servico!H70=0,"",DATEDIF(ordens_de_servico!H70,ordens_de_servico!G70,"d")))</f>
        <v/>
      </c>
      <c r="J76" s="11" t="str">
        <f>IF($D$5=ordens_de_servico!J70,ordens_de_servico!I70,"")</f>
        <v/>
      </c>
    </row>
    <row r="77" spans="6:10" ht="15.75" thickBot="1" x14ac:dyDescent="0.3">
      <c r="F77" s="7" t="s">
        <v>133</v>
      </c>
      <c r="G77" s="8" t="s">
        <v>81</v>
      </c>
      <c r="H77" s="9">
        <v>46324</v>
      </c>
      <c r="I77" s="10" t="str">
        <f>IF(ordens_de_servico!H71&gt;ordens_de_servico!G71,-DATEDIF(ordens_de_servico!G71,ordens_de_servico!H71,"d"),IF(ordens_de_servico!H71=0,"",DATEDIF(ordens_de_servico!H71,ordens_de_servico!G71,"d")))</f>
        <v/>
      </c>
      <c r="J77" s="11" t="str">
        <f>IF($D$5=ordens_de_servico!J71,ordens_de_servico!I71,"")</f>
        <v/>
      </c>
    </row>
    <row r="78" spans="6:10" ht="15.75" thickBot="1" x14ac:dyDescent="0.3">
      <c r="F78" s="7" t="s">
        <v>134</v>
      </c>
      <c r="G78" s="8" t="s">
        <v>116</v>
      </c>
      <c r="H78" s="9">
        <v>46304</v>
      </c>
      <c r="I78" s="10" t="str">
        <f>IF(ordens_de_servico!H72&gt;ordens_de_servico!G72,-DATEDIF(ordens_de_servico!G72,ordens_de_servico!H72,"d"),IF(ordens_de_servico!H72=0,"",DATEDIF(ordens_de_servico!H72,ordens_de_servico!G72,"d")))</f>
        <v/>
      </c>
      <c r="J78" s="11" t="str">
        <f>IF($D$5=ordens_de_servico!J72,ordens_de_servico!I72,"")</f>
        <v/>
      </c>
    </row>
    <row r="79" spans="6:10" ht="15.75" thickBot="1" x14ac:dyDescent="0.3">
      <c r="F79" s="7" t="s">
        <v>135</v>
      </c>
      <c r="G79" s="8" t="s">
        <v>100</v>
      </c>
      <c r="H79" s="9">
        <v>46310</v>
      </c>
      <c r="I79" s="10" t="str">
        <f>IF(ordens_de_servico!H73&gt;ordens_de_servico!G73,-DATEDIF(ordens_de_servico!G73,ordens_de_servico!H73,"d"),IF(ordens_de_servico!H73=0,"",DATEDIF(ordens_de_servico!H73,ordens_de_servico!G73,"d")))</f>
        <v/>
      </c>
      <c r="J79" s="11" t="str">
        <f>IF($D$5=ordens_de_servico!J73,ordens_de_servico!I73,"")</f>
        <v/>
      </c>
    </row>
    <row r="80" spans="6:10" ht="15.75" thickBot="1" x14ac:dyDescent="0.3">
      <c r="F80" s="7" t="s">
        <v>136</v>
      </c>
      <c r="G80" s="8" t="s">
        <v>45</v>
      </c>
      <c r="H80" s="9">
        <v>46305</v>
      </c>
      <c r="I80" s="10" t="str">
        <f>IF(ordens_de_servico!H74&gt;ordens_de_servico!G74,-DATEDIF(ordens_de_servico!G74,ordens_de_servico!H74,"d"),IF(ordens_de_servico!H74=0,"",DATEDIF(ordens_de_servico!H74,ordens_de_servico!G74,"d")))</f>
        <v/>
      </c>
      <c r="J80" s="11" t="str">
        <f>IF($D$5=ordens_de_servico!J74,ordens_de_servico!I74,"")</f>
        <v/>
      </c>
    </row>
    <row r="81" spans="6:10" ht="15.75" thickBot="1" x14ac:dyDescent="0.3">
      <c r="F81" s="7" t="s">
        <v>137</v>
      </c>
      <c r="G81" s="8" t="s">
        <v>34</v>
      </c>
      <c r="H81" s="9">
        <v>46304</v>
      </c>
      <c r="I81" s="10" t="str">
        <f>IF(ordens_de_servico!H75&gt;ordens_de_servico!G75,-DATEDIF(ordens_de_servico!G75,ordens_de_servico!H75,"d"),IF(ordens_de_servico!H75=0,"",DATEDIF(ordens_de_servico!H75,ordens_de_servico!G75,"d")))</f>
        <v/>
      </c>
      <c r="J81" s="11" t="str">
        <f>IF($D$5=ordens_de_servico!J75,ordens_de_servico!I75,"")</f>
        <v/>
      </c>
    </row>
    <row r="82" spans="6:10" ht="15.75" thickBot="1" x14ac:dyDescent="0.3">
      <c r="F82" s="7" t="s">
        <v>138</v>
      </c>
      <c r="G82" s="8" t="s">
        <v>56</v>
      </c>
      <c r="H82" s="9">
        <v>46328</v>
      </c>
      <c r="I82" s="10" t="str">
        <f>IF(ordens_de_servico!H76&gt;ordens_de_servico!G76,-DATEDIF(ordens_de_servico!G76,ordens_de_servico!H76,"d"),IF(ordens_de_servico!H76=0,"",DATEDIF(ordens_de_servico!H76,ordens_de_servico!G76,"d")))</f>
        <v/>
      </c>
      <c r="J82" s="11" t="str">
        <f>IF($D$5=ordens_de_servico!J76,ordens_de_servico!I76,"")</f>
        <v/>
      </c>
    </row>
    <row r="83" spans="6:10" ht="15.75" thickBot="1" x14ac:dyDescent="0.3">
      <c r="F83" s="7" t="s">
        <v>139</v>
      </c>
      <c r="G83" s="8" t="s">
        <v>31</v>
      </c>
      <c r="H83" s="9">
        <v>46309</v>
      </c>
      <c r="I83" s="10" t="str">
        <f>IF(ordens_de_servico!H77&gt;ordens_de_servico!G77,-DATEDIF(ordens_de_servico!G77,ordens_de_servico!H77,"d"),IF(ordens_de_servico!H77=0,"",DATEDIF(ordens_de_servico!H77,ordens_de_servico!G77,"d")))</f>
        <v/>
      </c>
      <c r="J83" s="11" t="str">
        <f>IF($D$5=ordens_de_servico!J77,ordens_de_servico!I77,"")</f>
        <v/>
      </c>
    </row>
    <row r="84" spans="6:10" ht="15.75" thickBot="1" x14ac:dyDescent="0.3">
      <c r="F84" s="7" t="s">
        <v>140</v>
      </c>
      <c r="G84" s="8" t="s">
        <v>49</v>
      </c>
      <c r="H84" s="9">
        <v>46310</v>
      </c>
      <c r="I84" s="10" t="str">
        <f>IF(ordens_de_servico!H78&gt;ordens_de_servico!G78,-DATEDIF(ordens_de_servico!G78,ordens_de_servico!H78,"d"),IF(ordens_de_servico!H78=0,"",DATEDIF(ordens_de_servico!H78,ordens_de_servico!G78,"d")))</f>
        <v/>
      </c>
      <c r="J84" s="11" t="str">
        <f>IF($D$5=ordens_de_servico!J78,ordens_de_servico!I78,"")</f>
        <v/>
      </c>
    </row>
    <row r="85" spans="6:10" ht="15.75" thickBot="1" x14ac:dyDescent="0.3">
      <c r="F85" s="7" t="s">
        <v>141</v>
      </c>
      <c r="G85" s="8" t="s">
        <v>34</v>
      </c>
      <c r="H85" s="9">
        <v>46322</v>
      </c>
      <c r="I85" s="10" t="str">
        <f>IF(ordens_de_servico!H79&gt;ordens_de_servico!G79,-DATEDIF(ordens_de_servico!G79,ordens_de_servico!H79,"d"),IF(ordens_de_servico!H79=0,"",DATEDIF(ordens_de_servico!H79,ordens_de_servico!G79,"d")))</f>
        <v/>
      </c>
      <c r="J85" s="11" t="str">
        <f>IF($D$5=ordens_de_servico!J79,ordens_de_servico!I79,"")</f>
        <v/>
      </c>
    </row>
    <row r="86" spans="6:10" ht="15.75" thickBot="1" x14ac:dyDescent="0.3">
      <c r="F86" s="7" t="s">
        <v>142</v>
      </c>
      <c r="G86" s="8" t="s">
        <v>69</v>
      </c>
      <c r="H86" s="9">
        <v>46334</v>
      </c>
      <c r="I86" s="10" t="str">
        <f>IF(ordens_de_servico!H80&gt;ordens_de_servico!G80,-DATEDIF(ordens_de_servico!G80,ordens_de_servico!H80,"d"),IF(ordens_de_servico!H80=0,"",DATEDIF(ordens_de_servico!H80,ordens_de_servico!G80,"d")))</f>
        <v/>
      </c>
      <c r="J86" s="11" t="str">
        <f>IF($D$5=ordens_de_servico!J80,ordens_de_servico!I80,"")</f>
        <v/>
      </c>
    </row>
    <row r="87" spans="6:10" ht="15.75" thickBot="1" x14ac:dyDescent="0.3">
      <c r="F87" s="7" t="s">
        <v>143</v>
      </c>
      <c r="G87" s="8" t="s">
        <v>72</v>
      </c>
      <c r="H87" s="9">
        <v>46319</v>
      </c>
      <c r="I87" s="10" t="str">
        <f>IF(ordens_de_servico!H81&gt;ordens_de_servico!G81,-DATEDIF(ordens_de_servico!G81,ordens_de_servico!H81,"d"),IF(ordens_de_servico!H81=0,"",DATEDIF(ordens_de_servico!H81,ordens_de_servico!G81,"d")))</f>
        <v/>
      </c>
      <c r="J87" s="11" t="str">
        <f>IF($D$5=ordens_de_servico!J81,ordens_de_servico!I81,"")</f>
        <v/>
      </c>
    </row>
    <row r="88" spans="6:10" ht="15.75" thickBot="1" x14ac:dyDescent="0.3">
      <c r="F88" s="7" t="s">
        <v>144</v>
      </c>
      <c r="G88" s="8" t="s">
        <v>62</v>
      </c>
      <c r="H88" s="9">
        <v>46320</v>
      </c>
      <c r="I88" s="10" t="str">
        <f>IF(ordens_de_servico!H82&gt;ordens_de_servico!G82,-DATEDIF(ordens_de_servico!G82,ordens_de_servico!H82,"d"),IF(ordens_de_servico!H82=0,"",DATEDIF(ordens_de_servico!H82,ordens_de_servico!G82,"d")))</f>
        <v/>
      </c>
      <c r="J88" s="11" t="str">
        <f>IF($D$5=ordens_de_servico!J82,ordens_de_servico!I82,"")</f>
        <v/>
      </c>
    </row>
    <row r="89" spans="6:10" ht="15.75" thickBot="1" x14ac:dyDescent="0.3">
      <c r="F89" s="7" t="s">
        <v>145</v>
      </c>
      <c r="G89" s="8" t="s">
        <v>52</v>
      </c>
      <c r="H89" s="9">
        <v>46325</v>
      </c>
      <c r="I89" s="10" t="str">
        <f>IF(ordens_de_servico!H83&gt;ordens_de_servico!G83,-DATEDIF(ordens_de_servico!G83,ordens_de_servico!H83,"d"),IF(ordens_de_servico!H83=0,"",DATEDIF(ordens_de_servico!H83,ordens_de_servico!G83,"d")))</f>
        <v/>
      </c>
      <c r="J89" s="11" t="str">
        <f>IF($D$5=ordens_de_servico!J83,ordens_de_servico!I83,"")</f>
        <v/>
      </c>
    </row>
    <row r="90" spans="6:10" ht="15.75" thickBot="1" x14ac:dyDescent="0.3">
      <c r="F90" s="7" t="s">
        <v>146</v>
      </c>
      <c r="G90" s="8" t="s">
        <v>34</v>
      </c>
      <c r="H90" s="9">
        <v>46312</v>
      </c>
      <c r="I90" s="10" t="str">
        <f>IF(ordens_de_servico!H84&gt;ordens_de_servico!G84,-DATEDIF(ordens_de_servico!G84,ordens_de_servico!H84,"d"),IF(ordens_de_servico!H84=0,"",DATEDIF(ordens_de_servico!H84,ordens_de_servico!G84,"d")))</f>
        <v/>
      </c>
      <c r="J90" s="11" t="str">
        <f>IF($D$5=ordens_de_servico!J84,ordens_de_servico!I84,"")</f>
        <v/>
      </c>
    </row>
    <row r="91" spans="6:10" ht="15.75" thickBot="1" x14ac:dyDescent="0.3">
      <c r="F91" s="7" t="s">
        <v>147</v>
      </c>
      <c r="G91" s="8" t="s">
        <v>69</v>
      </c>
      <c r="H91" s="9">
        <v>46336</v>
      </c>
      <c r="I91" s="10" t="str">
        <f>IF(ordens_de_servico!H85&gt;ordens_de_servico!G85,-DATEDIF(ordens_de_servico!G85,ordens_de_servico!H85,"d"),IF(ordens_de_servico!H85=0,"",DATEDIF(ordens_de_servico!H85,ordens_de_servico!G85,"d")))</f>
        <v/>
      </c>
      <c r="J91" s="11" t="str">
        <f>IF($D$5=ordens_de_servico!J85,ordens_de_servico!I85,"")</f>
        <v/>
      </c>
    </row>
    <row r="92" spans="6:10" ht="15.75" thickBot="1" x14ac:dyDescent="0.3">
      <c r="F92" s="7" t="s">
        <v>148</v>
      </c>
      <c r="G92" s="8" t="s">
        <v>69</v>
      </c>
      <c r="H92" s="9">
        <v>46314</v>
      </c>
      <c r="I92" s="10" t="str">
        <f>IF(ordens_de_servico!H86&gt;ordens_de_servico!G86,-DATEDIF(ordens_de_servico!G86,ordens_de_servico!H86,"d"),IF(ordens_de_servico!H86=0,"",DATEDIF(ordens_de_servico!H86,ordens_de_servico!G86,"d")))</f>
        <v/>
      </c>
      <c r="J92" s="11" t="str">
        <f>IF($D$5=ordens_de_servico!J86,ordens_de_servico!I86,"")</f>
        <v/>
      </c>
    </row>
    <row r="93" spans="6:10" ht="15.75" thickBot="1" x14ac:dyDescent="0.3">
      <c r="F93" s="7" t="s">
        <v>149</v>
      </c>
      <c r="G93" s="8" t="s">
        <v>52</v>
      </c>
      <c r="H93" s="9">
        <v>46315</v>
      </c>
      <c r="I93" s="10" t="str">
        <f>IF(ordens_de_servico!H87&gt;ordens_de_servico!G87,-DATEDIF(ordens_de_servico!G87,ordens_de_servico!H87,"d"),IF(ordens_de_servico!H87=0,"",DATEDIF(ordens_de_servico!H87,ordens_de_servico!G87,"d")))</f>
        <v/>
      </c>
      <c r="J93" s="11" t="str">
        <f>IF($D$5=ordens_de_servico!J87,ordens_de_servico!I87,"")</f>
        <v/>
      </c>
    </row>
    <row r="94" spans="6:10" ht="15.75" thickBot="1" x14ac:dyDescent="0.3">
      <c r="F94" s="7" t="s">
        <v>150</v>
      </c>
      <c r="G94" s="8" t="s">
        <v>40</v>
      </c>
      <c r="H94" s="9">
        <v>46325</v>
      </c>
      <c r="I94" s="10" t="str">
        <f>IF(ordens_de_servico!H88&gt;ordens_de_servico!G88,-DATEDIF(ordens_de_servico!G88,ordens_de_servico!H88,"d"),IF(ordens_de_servico!H88=0,"",DATEDIF(ordens_de_servico!H88,ordens_de_servico!G88,"d")))</f>
        <v/>
      </c>
      <c r="J94" s="11" t="str">
        <f>IF($D$5=ordens_de_servico!J88,ordens_de_servico!I88,"")</f>
        <v/>
      </c>
    </row>
    <row r="95" spans="6:10" ht="15.75" thickBot="1" x14ac:dyDescent="0.3">
      <c r="F95" s="7" t="s">
        <v>151</v>
      </c>
      <c r="G95" s="8" t="s">
        <v>52</v>
      </c>
      <c r="H95" s="9">
        <v>46317</v>
      </c>
      <c r="I95" s="10" t="str">
        <f>IF(ordens_de_servico!H89&gt;ordens_de_servico!G89,-DATEDIF(ordens_de_servico!G89,ordens_de_servico!H89,"d"),IF(ordens_de_servico!H89=0,"",DATEDIF(ordens_de_servico!H89,ordens_de_servico!G89,"d")))</f>
        <v/>
      </c>
      <c r="J95" s="11" t="str">
        <f>IF($D$5=ordens_de_servico!J89,ordens_de_servico!I89,"")</f>
        <v/>
      </c>
    </row>
    <row r="96" spans="6:10" ht="15.75" thickBot="1" x14ac:dyDescent="0.3">
      <c r="F96" s="7" t="s">
        <v>152</v>
      </c>
      <c r="G96" s="8" t="s">
        <v>37</v>
      </c>
      <c r="H96" s="9">
        <v>46322</v>
      </c>
      <c r="I96" s="10" t="str">
        <f>IF(ordens_de_servico!H90&gt;ordens_de_servico!G90,-DATEDIF(ordens_de_servico!G90,ordens_de_servico!H90,"d"),IF(ordens_de_servico!H90=0,"",DATEDIF(ordens_de_servico!H90,ordens_de_servico!G90,"d")))</f>
        <v/>
      </c>
      <c r="J96" s="11" t="str">
        <f>IF($D$5=ordens_de_servico!J90,ordens_de_servico!I90,"")</f>
        <v/>
      </c>
    </row>
    <row r="97" spans="6:10" ht="15.75" thickBot="1" x14ac:dyDescent="0.3">
      <c r="F97" s="7" t="s">
        <v>153</v>
      </c>
      <c r="G97" s="8" t="s">
        <v>11</v>
      </c>
      <c r="H97" s="9">
        <v>46319</v>
      </c>
      <c r="I97" s="10" t="str">
        <f>IF(ordens_de_servico!H91&gt;ordens_de_servico!G91,-DATEDIF(ordens_de_servico!G91,ordens_de_servico!H91,"d"),IF(ordens_de_servico!H91=0,"",DATEDIF(ordens_de_servico!H91,ordens_de_servico!G91,"d")))</f>
        <v/>
      </c>
      <c r="J97" s="11" t="str">
        <f>IF($D$5=ordens_de_servico!J91,ordens_de_servico!I91,"")</f>
        <v/>
      </c>
    </row>
    <row r="98" spans="6:10" ht="15.75" thickBot="1" x14ac:dyDescent="0.3">
      <c r="F98" s="7" t="s">
        <v>154</v>
      </c>
      <c r="G98" s="8" t="s">
        <v>116</v>
      </c>
      <c r="H98" s="9">
        <v>46323</v>
      </c>
      <c r="I98" s="10" t="str">
        <f>IF(ordens_de_servico!H92&gt;ordens_de_servico!G92,-DATEDIF(ordens_de_servico!G92,ordens_de_servico!H92,"d"),IF(ordens_de_servico!H92=0,"",DATEDIF(ordens_de_servico!H92,ordens_de_servico!G92,"d")))</f>
        <v/>
      </c>
      <c r="J98" s="11" t="str">
        <f>IF($D$5=ordens_de_servico!J92,ordens_de_servico!I92,"")</f>
        <v/>
      </c>
    </row>
    <row r="99" spans="6:10" ht="15.75" thickBot="1" x14ac:dyDescent="0.3">
      <c r="F99" s="7" t="s">
        <v>155</v>
      </c>
      <c r="G99" s="8" t="s">
        <v>19</v>
      </c>
      <c r="H99" s="9">
        <v>46323</v>
      </c>
      <c r="I99" s="10" t="str">
        <f>IF(ordens_de_servico!H93&gt;ordens_de_servico!G93,-DATEDIF(ordens_de_servico!G93,ordens_de_servico!H93,"d"),IF(ordens_de_servico!H93=0,"",DATEDIF(ordens_de_servico!H93,ordens_de_servico!G93,"d")))</f>
        <v/>
      </c>
      <c r="J99" s="11" t="str">
        <f>IF($D$5=ordens_de_servico!J93,ordens_de_servico!I93,"")</f>
        <v/>
      </c>
    </row>
    <row r="100" spans="6:10" ht="15.75" thickBot="1" x14ac:dyDescent="0.3">
      <c r="F100" s="7" t="s">
        <v>156</v>
      </c>
      <c r="G100" s="8" t="s">
        <v>25</v>
      </c>
      <c r="H100" s="9">
        <v>46337</v>
      </c>
      <c r="I100" s="10" t="str">
        <f>IF(ordens_de_servico!H94&gt;ordens_de_servico!G94,-DATEDIF(ordens_de_servico!G94,ordens_de_servico!H94,"d"),IF(ordens_de_servico!H94=0,"",DATEDIF(ordens_de_servico!H94,ordens_de_servico!G94,"d")))</f>
        <v/>
      </c>
      <c r="J100" s="11" t="str">
        <f>IF($D$5=ordens_de_servico!J94,ordens_de_servico!I94,"")</f>
        <v/>
      </c>
    </row>
    <row r="101" spans="6:10" ht="15.75" thickBot="1" x14ac:dyDescent="0.3">
      <c r="F101" s="7" t="s">
        <v>157</v>
      </c>
      <c r="G101" s="8" t="s">
        <v>56</v>
      </c>
      <c r="H101" s="9">
        <v>46334</v>
      </c>
      <c r="I101" s="10" t="str">
        <f>IF(ordens_de_servico!H95&gt;ordens_de_servico!G95,-DATEDIF(ordens_de_servico!G95,ordens_de_servico!H95,"d"),IF(ordens_de_servico!H95=0,"",DATEDIF(ordens_de_servico!H95,ordens_de_servico!G95,"d")))</f>
        <v/>
      </c>
      <c r="J101" s="11" t="str">
        <f>IF($D$5=ordens_de_servico!J95,ordens_de_servico!I95,"")</f>
        <v/>
      </c>
    </row>
    <row r="102" spans="6:10" ht="15.75" thickBot="1" x14ac:dyDescent="0.3">
      <c r="F102" s="7" t="s">
        <v>158</v>
      </c>
      <c r="G102" s="8" t="s">
        <v>34</v>
      </c>
      <c r="H102" s="9">
        <v>46331</v>
      </c>
      <c r="I102" s="10" t="str">
        <f>IF(ordens_de_servico!H96&gt;ordens_de_servico!G96,-DATEDIF(ordens_de_servico!G96,ordens_de_servico!H96,"d"),IF(ordens_de_servico!H96=0,"",DATEDIF(ordens_de_servico!H96,ordens_de_servico!G96,"d")))</f>
        <v/>
      </c>
      <c r="J102" s="11" t="str">
        <f>IF($D$5=ordens_de_servico!J96,ordens_de_servico!I96,"")</f>
        <v/>
      </c>
    </row>
    <row r="103" spans="6:10" ht="15.75" thickBot="1" x14ac:dyDescent="0.3">
      <c r="F103" s="7" t="s">
        <v>159</v>
      </c>
      <c r="G103" s="8" t="s">
        <v>116</v>
      </c>
      <c r="H103" s="9">
        <v>46331</v>
      </c>
      <c r="I103" s="10" t="str">
        <f>IF(ordens_de_servico!H97&gt;ordens_de_servico!G97,-DATEDIF(ordens_de_servico!G97,ordens_de_servico!H97,"d"),IF(ordens_de_servico!H97=0,"",DATEDIF(ordens_de_servico!H97,ordens_de_servico!G97,"d")))</f>
        <v/>
      </c>
      <c r="J103" s="11" t="str">
        <f>IF($D$5=ordens_de_servico!J97,ordens_de_servico!I97,"")</f>
        <v/>
      </c>
    </row>
    <row r="104" spans="6:10" ht="15.75" thickBot="1" x14ac:dyDescent="0.3">
      <c r="F104" s="7" t="s">
        <v>160</v>
      </c>
      <c r="G104" s="8" t="s">
        <v>40</v>
      </c>
      <c r="H104" s="9">
        <v>46329</v>
      </c>
      <c r="I104" s="10" t="str">
        <f>IF(ordens_de_servico!H98&gt;ordens_de_servico!G98,-DATEDIF(ordens_de_servico!G98,ordens_de_servico!H98,"d"),IF(ordens_de_servico!H98=0,"",DATEDIF(ordens_de_servico!H98,ordens_de_servico!G98,"d")))</f>
        <v/>
      </c>
      <c r="J104" s="11" t="str">
        <f>IF($D$5=ordens_de_servico!J98,ordens_de_servico!I98,"")</f>
        <v/>
      </c>
    </row>
    <row r="105" spans="6:10" ht="15.75" thickBot="1" x14ac:dyDescent="0.3">
      <c r="F105" s="7" t="s">
        <v>161</v>
      </c>
      <c r="G105" s="8" t="s">
        <v>65</v>
      </c>
      <c r="H105" s="9">
        <v>46333</v>
      </c>
      <c r="I105" s="10" t="str">
        <f>IF(ordens_de_servico!H99&gt;ordens_de_servico!G99,-DATEDIF(ordens_de_servico!G99,ordens_de_servico!H99,"d"),IF(ordens_de_servico!H99=0,"",DATEDIF(ordens_de_servico!H99,ordens_de_servico!G99,"d")))</f>
        <v/>
      </c>
      <c r="J105" s="11" t="str">
        <f>IF($D$5=ordens_de_servico!J99,ordens_de_servico!I99,"")</f>
        <v/>
      </c>
    </row>
    <row r="106" spans="6:10" ht="15.75" thickBot="1" x14ac:dyDescent="0.3">
      <c r="F106" s="7" t="s">
        <v>162</v>
      </c>
      <c r="G106" s="8" t="s">
        <v>108</v>
      </c>
      <c r="H106" s="9">
        <v>46334</v>
      </c>
      <c r="I106" s="10" t="str">
        <f>IF(ordens_de_servico!H100&gt;ordens_de_servico!G100,-DATEDIF(ordens_de_servico!G100,ordens_de_servico!H100,"d"),IF(ordens_de_servico!H100=0,"",DATEDIF(ordens_de_servico!H100,ordens_de_servico!G100,"d")))</f>
        <v/>
      </c>
      <c r="J106" s="11" t="str">
        <f>IF($D$5=ordens_de_servico!J100,ordens_de_servico!I100,"")</f>
        <v/>
      </c>
    </row>
    <row r="107" spans="6:10" ht="15.75" thickBot="1" x14ac:dyDescent="0.3">
      <c r="F107" s="12" t="s">
        <v>163</v>
      </c>
      <c r="G107" s="13" t="s">
        <v>45</v>
      </c>
      <c r="H107" s="14">
        <v>46334</v>
      </c>
      <c r="I107" s="15" t="str">
        <f>IF(ordens_de_servico!H101&gt;ordens_de_servico!G101,-DATEDIF(ordens_de_servico!G101,ordens_de_servico!H101,"d"),IF(ordens_de_servico!H101=0,"",DATEDIF(ordens_de_servico!H101,ordens_de_servico!G101,"d")))</f>
        <v/>
      </c>
      <c r="J107" s="16" t="str">
        <f>IF($D$5=ordens_de_servico!J101,ordens_de_servico!I101,"")</f>
        <v/>
      </c>
    </row>
  </sheetData>
  <autoFilter ref="F7:J107" xr:uid="{14B8D296-2926-4BF5-8E29-9FB41C0EEE9F}"/>
  <sortState xmlns:xlrd2="http://schemas.microsoft.com/office/spreadsheetml/2017/richdata2" ref="C13:C18">
    <sortCondition ref="C13:C18"/>
  </sortState>
  <mergeCells count="1">
    <mergeCell ref="C7:D7"/>
  </mergeCells>
  <conditionalFormatting sqref="F8:J107">
    <cfRule type="expression" dxfId="3" priority="5">
      <formula>$J8="Aberta"</formula>
    </cfRule>
    <cfRule type="expression" dxfId="2" priority="6">
      <formula>$J8="Em andamento"</formula>
    </cfRule>
    <cfRule type="expression" dxfId="1" priority="7">
      <formula>$J8="Concluída"</formula>
    </cfRule>
  </conditionalFormatting>
  <conditionalFormatting sqref="I8:I107">
    <cfRule type="cellIs" dxfId="0" priority="3" operator="lessThan">
      <formula>0</formula>
    </cfRule>
  </conditionalFormatting>
  <dataValidations xWindow="471" yWindow="365" count="1">
    <dataValidation type="list" allowBlank="1" showInputMessage="1" showErrorMessage="1" errorTitle="Valor não permitido" error="Escolha uma das opções da lista. Não é possível digitar outro texto neste campo." promptTitle="Filtro" prompt="Selecione o responsável desejado" sqref="D5" xr:uid="{78BEE481-69E3-40B6-91E7-F4B089E9070C}">
      <formula1>"Geral,Ana Souza, Carlos Lima, Juliana Alves, Marcos Pereira, Paula Mendes, Rafael Costa"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csv</vt:lpstr>
      <vt:lpstr>ordens_de_servico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 o n d E</cp:lastModifiedBy>
  <dcterms:created xsi:type="dcterms:W3CDTF">2026-10-05T04:46:16Z</dcterms:created>
  <dcterms:modified xsi:type="dcterms:W3CDTF">2026-10-09T22:19:12Z</dcterms:modified>
</cp:coreProperties>
</file>